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ganisation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<sst xmlns="http://schemas.openxmlformats.org/spreadsheetml/2006/main" count="919" uniqueCount="431">
  <si>
    <t xml:space="preserve">Organisation</t>
  </si>
  <si>
    <t xml:space="preserve">Sites / notes</t>
  </si>
  <si>
    <t xml:space="preserve">City</t>
  </si>
  <si>
    <t xml:space="preserve">Country</t>
  </si>
  <si>
    <t xml:space="preserve">Region</t>
  </si>
  <si>
    <t xml:space="preserve">Type</t>
  </si>
  <si>
    <t xml:space="preserve">How they use Smartify</t>
  </si>
  <si>
    <t xml:space="preserve">Latest evidence (year)</t>
  </si>
  <si>
    <t xml:space="preserve">Confidence</t>
  </si>
  <si>
    <t xml:space="preserve">Source</t>
  </si>
  <si>
    <t xml:space="preserve">Belvedere</t>
  </si>
  <si>
    <t xml:space="preserve">Upper &amp; Lower Belvedere listed on Smartify</t>
  </si>
  <si>
    <t xml:space="preserve">Vienna</t>
  </si>
  <si>
    <t xml:space="preserve">Austria</t>
  </si>
  <si>
    <t xml:space="preserve">Europe</t>
  </si>
  <si>
    <t xml:space="preserve">Art museum</t>
  </si>
  <si>
    <t xml:space="preserve">Venue listing, tours</t>
  </si>
  <si>
    <t xml:space="preserve">n/a</t>
  </si>
  <si>
    <t xml:space="preserve">Medium – listed on Smartify, use unclear</t>
  </si>
  <si>
    <t xml:space="preserve">https://smartify.org/venues</t>
  </si>
  <si>
    <t xml:space="preserve">MSK – Museum of Fine Arts Ghent</t>
  </si>
  <si>
    <t xml:space="preserve">Custom-branded web app, personalised tours</t>
  </si>
  <si>
    <t xml:space="preserve">Ghent</t>
  </si>
  <si>
    <t xml:space="preserve">Belgium</t>
  </si>
  <si>
    <t xml:space="preserve">Web app, personalised audio</t>
  </si>
  <si>
    <t xml:space="preserve">2026</t>
  </si>
  <si>
    <t xml:space="preserve">High – current/recent evidence</t>
  </si>
  <si>
    <t xml:space="preserve">https://smartify.org/partners/articles/museum-of-fine-arts-ghent</t>
  </si>
  <si>
    <t xml:space="preserve">Writer's Block</t>
  </si>
  <si>
    <t xml:space="preserve">Street art organisation; named in Benelux article</t>
  </si>
  <si>
    <t xml:space="preserve">Benelux</t>
  </si>
  <si>
    <t xml:space="preserve">Belgium/Netherlands</t>
  </si>
  <si>
    <t xml:space="preserve">Street art organisation</t>
  </si>
  <si>
    <t xml:space="preserve">Digital guide</t>
  </si>
  <si>
    <t xml:space="preserve">2025</t>
  </si>
  <si>
    <t xml:space="preserve">https://smartify.org/partners/articles/connecting-culture-across-benelux</t>
  </si>
  <si>
    <t xml:space="preserve">Museum of National History at Frederiksborg Castle</t>
  </si>
  <si>
    <t xml:space="preserve">Free audio guide in 8 languages</t>
  </si>
  <si>
    <t xml:space="preserve">Hillerød</t>
  </si>
  <si>
    <t xml:space="preserve">Denmark</t>
  </si>
  <si>
    <t xml:space="preserve">Castle / museum</t>
  </si>
  <si>
    <t xml:space="preserve">Audio guide</t>
  </si>
  <si>
    <t xml:space="preserve">2024</t>
  </si>
  <si>
    <t xml:space="preserve">https://frederiksborg.dk/en/audioguide/</t>
  </si>
  <si>
    <t xml:space="preserve">The Royal Danish Collection</t>
  </si>
  <si>
    <t xml:space="preserve">Multi-location digital guide</t>
  </si>
  <si>
    <t xml:space="preserve">Copenhagen</t>
  </si>
  <si>
    <t xml:space="preserve">Royal palaces / museums</t>
  </si>
  <si>
    <t xml:space="preserve">Multi-site digital guide</t>
  </si>
  <si>
    <t xml:space="preserve">https://smartify.org/partners/articles/royal-danish-collection</t>
  </si>
  <si>
    <t xml:space="preserve">Frauenkirche Dresden</t>
  </si>
  <si>
    <t xml:space="preserve">Listed in Smartify places/projects</t>
  </si>
  <si>
    <t xml:space="preserve">Dresden</t>
  </si>
  <si>
    <t xml:space="preserve">Germany</t>
  </si>
  <si>
    <t xml:space="preserve">Church</t>
  </si>
  <si>
    <t xml:space="preserve">Hamburger Kunsthalle</t>
  </si>
  <si>
    <t xml:space="preserve">AI-personalised audio guides (pilot)</t>
  </si>
  <si>
    <t xml:space="preserve">Hamburg</t>
  </si>
  <si>
    <t xml:space="preserve">AI-personalised audio tours</t>
  </si>
  <si>
    <t xml:space="preserve">https://smartify.org/partners/case-studies/hamburger-kunsthalle</t>
  </si>
  <si>
    <t xml:space="preserve">Horst-Janssen-Museum</t>
  </si>
  <si>
    <t xml:space="preserve">'Coming soon' partner in older list</t>
  </si>
  <si>
    <t xml:space="preserve">Oldenburg</t>
  </si>
  <si>
    <t xml:space="preserve">Unverified</t>
  </si>
  <si>
    <t xml:space="preserve">c.2018</t>
  </si>
  <si>
    <t xml:space="preserve">Low – older or indirect mention</t>
  </si>
  <si>
    <t xml:space="preserve">https://www.mintmuseum.org/?p=54948</t>
  </si>
  <si>
    <t xml:space="preserve">Acropolis Museum</t>
  </si>
  <si>
    <t xml:space="preserve">BYOD guide, ~3,500 objects, 25+ languages, AI translation</t>
  </si>
  <si>
    <t xml:space="preserve">Athens</t>
  </si>
  <si>
    <t xml:space="preserve">Greece</t>
  </si>
  <si>
    <t xml:space="preserve">Archaeological museum</t>
  </si>
  <si>
    <t xml:space="preserve">Custom app, audio tours, object recognition</t>
  </si>
  <si>
    <t xml:space="preserve">https://smartify.org/partners/case-studies/acropolis-museum</t>
  </si>
  <si>
    <t xml:space="preserve">EMST – National Museum of Contemporary Art</t>
  </si>
  <si>
    <t xml:space="preserve">'Smartify at EMST' event page</t>
  </si>
  <si>
    <t xml:space="preserve">Artwork scanning</t>
  </si>
  <si>
    <t xml:space="preserve">https://www.emst.gr/en/events-en/smartify-at-emst</t>
  </si>
  <si>
    <t xml:space="preserve">Doge's Palace</t>
  </si>
  <si>
    <t xml:space="preserve">2017 launch partner</t>
  </si>
  <si>
    <t xml:space="preserve">Venice</t>
  </si>
  <si>
    <t xml:space="preserve">Italy</t>
  </si>
  <si>
    <t xml:space="preserve">Palace museum</t>
  </si>
  <si>
    <t xml:space="preserve">2017</t>
  </si>
  <si>
    <t xml:space="preserve">https://www.theartnewspaper.com/2017/09/22/new-app-invites-art-lovers-to-build-a-playlist-across-museums</t>
  </si>
  <si>
    <t xml:space="preserve">Museum Van Loon</t>
  </si>
  <si>
    <t xml:space="preserve">Named in Smartify Benelux article</t>
  </si>
  <si>
    <t xml:space="preserve">Amsterdam</t>
  </si>
  <si>
    <t xml:space="preserve">Netherlands</t>
  </si>
  <si>
    <t xml:space="preserve">Historic house museum</t>
  </si>
  <si>
    <t xml:space="preserve">Rijksmuseum</t>
  </si>
  <si>
    <t xml:space="preserve">Early partner / open-access data</t>
  </si>
  <si>
    <t xml:space="preserve">Artwork scanning (data)</t>
  </si>
  <si>
    <t xml:space="preserve">https://cordis.europa.eu/project/id/781928</t>
  </si>
  <si>
    <t xml:space="preserve">Van Abbemuseum</t>
  </si>
  <si>
    <t xml:space="preserve">Five audio tours incl. multi-sensory tour</t>
  </si>
  <si>
    <t xml:space="preserve">Eindhoven</t>
  </si>
  <si>
    <t xml:space="preserve">Audio tours</t>
  </si>
  <si>
    <t xml:space="preserve">https://smartify.org/partners/case-studies/van-abbe-museum</t>
  </si>
  <si>
    <t xml:space="preserve">World Press Photo</t>
  </si>
  <si>
    <t xml:space="preserve">Photography exhibition org</t>
  </si>
  <si>
    <t xml:space="preserve">Pushkin State Museum of Fine Arts</t>
  </si>
  <si>
    <t xml:space="preserve">Named in Smithsonian coverage</t>
  </si>
  <si>
    <t xml:space="preserve">Moscow</t>
  </si>
  <si>
    <t xml:space="preserve">Russia</t>
  </si>
  <si>
    <t xml:space="preserve">https://www.smithsonianmag.com/smart-news/app-aims-be-shazam-art-museum-180965199/</t>
  </si>
  <si>
    <t xml:space="preserve">State Hermitage Museum</t>
  </si>
  <si>
    <t xml:space="preserve">2017 launch partner; hosted tours</t>
  </si>
  <si>
    <t xml:space="preserve">St Petersburg</t>
  </si>
  <si>
    <t xml:space="preserve">Artwork scanning, tours</t>
  </si>
  <si>
    <t xml:space="preserve">Museo Reina Sofía</t>
  </si>
  <si>
    <t xml:space="preserve">Listed as partner in EU CORDIS record</t>
  </si>
  <si>
    <t xml:space="preserve">Madrid</t>
  </si>
  <si>
    <t xml:space="preserve">Spain</t>
  </si>
  <si>
    <t xml:space="preserve">Qatar Museums</t>
  </si>
  <si>
    <t xml:space="preserve">National Museum of Qatar, Museum of Islamic Art, Mathaf, 3-2-1 Olympic &amp; Sports Museum, Fire Station</t>
  </si>
  <si>
    <t xml:space="preserve">Doha</t>
  </si>
  <si>
    <t xml:space="preserve">Qatar</t>
  </si>
  <si>
    <t xml:space="preserve">Middle East</t>
  </si>
  <si>
    <t xml:space="preserve">Museum authority</t>
  </si>
  <si>
    <t xml:space="preserve">Venue listings, tours</t>
  </si>
  <si>
    <t xml:space="preserve">https://app.smartify.org/en-GB/venues/qatar-museums</t>
  </si>
  <si>
    <t xml:space="preserve">Musée national des beaux-arts du Québec</t>
  </si>
  <si>
    <t xml:space="preserve">Québec City</t>
  </si>
  <si>
    <t xml:space="preserve">Canada</t>
  </si>
  <si>
    <t xml:space="preserve">North America</t>
  </si>
  <si>
    <t xml:space="preserve">Glass Curtain Gallery</t>
  </si>
  <si>
    <t xml:space="preserve">Venue page</t>
  </si>
  <si>
    <t xml:space="preserve">Chicago</t>
  </si>
  <si>
    <t xml:space="preserve">USA</t>
  </si>
  <si>
    <t xml:space="preserve">Art gallery</t>
  </si>
  <si>
    <t xml:space="preserve">Venue listing</t>
  </si>
  <si>
    <t xml:space="preserve">https://smartify.org/venues/glass-curtain-gallery</t>
  </si>
  <si>
    <t xml:space="preserve">J. Paul Getty Museum</t>
  </si>
  <si>
    <t xml:space="preserve">Hosted visual &amp; audio tours</t>
  </si>
  <si>
    <t xml:space="preserve">Los Angeles</t>
  </si>
  <si>
    <t xml:space="preserve">Tours, artwork scanning</t>
  </si>
  <si>
    <t xml:space="preserve">2020</t>
  </si>
  <si>
    <t xml:space="preserve">https://thelowry.com/2019/01/22/smartify-launch/</t>
  </si>
  <si>
    <t xml:space="preserve">Kimbell Art Museum</t>
  </si>
  <si>
    <t xml:space="preserve">Free tours on Smartify (press mention)</t>
  </si>
  <si>
    <t xml:space="preserve">Fort Worth, TX</t>
  </si>
  <si>
    <t xml:space="preserve">https://www.smithsonianmag.com/smart-news/smartify-makes-all-its-audio-museum-tours-available-free-180974531/</t>
  </si>
  <si>
    <t xml:space="preserve">Laguna Art Museum</t>
  </si>
  <si>
    <t xml:space="preserve">Early partner</t>
  </si>
  <si>
    <t xml:space="preserve">Laguna Beach, CA</t>
  </si>
  <si>
    <t xml:space="preserve">2018</t>
  </si>
  <si>
    <t xml:space="preserve">Los Angeles County Museum of Art (LACMA)</t>
  </si>
  <si>
    <t xml:space="preserve">https://enewsletters.k-state.edu/beach/smartify-app/</t>
  </si>
  <si>
    <t xml:space="preserve">Marianna Kistler Beach Museum of Art (K-State)</t>
  </si>
  <si>
    <t xml:space="preserve">Scan labels with Smartify logo</t>
  </si>
  <si>
    <t xml:space="preserve">Manhattan, KS</t>
  </si>
  <si>
    <t xml:space="preserve">University museum</t>
  </si>
  <si>
    <t xml:space="preserve">Michigan Central</t>
  </si>
  <si>
    <t xml:space="preserve">Digital visitor guide with text-to-speech</t>
  </si>
  <si>
    <t xml:space="preserve">Detroit, MI</t>
  </si>
  <si>
    <t xml:space="preserve">Historic landmark</t>
  </si>
  <si>
    <t xml:space="preserve">Digital visitor guide</t>
  </si>
  <si>
    <t xml:space="preserve">https://smartify.org/partners/case-studies/digital-visitor-guide-michigan-central</t>
  </si>
  <si>
    <t xml:space="preserve">Museum of Contemporary Photography</t>
  </si>
  <si>
    <t xml:space="preserve">Photography museum</t>
  </si>
  <si>
    <t xml:space="preserve">Museum of Fine Arts, Houston</t>
  </si>
  <si>
    <t xml:space="preserve">Digital guides for three major exhibitions</t>
  </si>
  <si>
    <t xml:space="preserve">Houston, TX</t>
  </si>
  <si>
    <t xml:space="preserve">Exhibition digital guides</t>
  </si>
  <si>
    <t xml:space="preserve">https://partners.smartify.org/projects</t>
  </si>
  <si>
    <t xml:space="preserve">Nancy &amp; David Wolf Holocaust &amp; Humanity Center</t>
  </si>
  <si>
    <t xml:space="preserve">19-stop audio guide</t>
  </si>
  <si>
    <t xml:space="preserve">Cincinnati, OH</t>
  </si>
  <si>
    <t xml:space="preserve">History museum</t>
  </si>
  <si>
    <t xml:space="preserve">https://www.holocaustandhumanity.org/press-releases/the-nancy-david-wolf-holocaust-humanity-center-launches-new-interactive-audio-guide-in-partnership-with-smartify/</t>
  </si>
  <si>
    <t xml:space="preserve">National Gallery of Art</t>
  </si>
  <si>
    <t xml:space="preserve">Tours incl. 'One Minute Monet'</t>
  </si>
  <si>
    <t xml:space="preserve">Washington, DC</t>
  </si>
  <si>
    <t xml:space="preserve">https://smartify.org/venues/national-gallery-of-art</t>
  </si>
  <si>
    <t xml:space="preserve">National Museum of Asian Art (Freer|Sackler)</t>
  </si>
  <si>
    <t xml:space="preserve">National Portrait Gallery (Smithsonian)</t>
  </si>
  <si>
    <t xml:space="preserve">Free audio guides in English &amp; Spanish</t>
  </si>
  <si>
    <t xml:space="preserve">https://npg.si.edu/es/node/150181</t>
  </si>
  <si>
    <t xml:space="preserve">Nelson-Atkins Museum of Art</t>
  </si>
  <si>
    <t xml:space="preserve">Accessible &amp; ASL tours</t>
  </si>
  <si>
    <t xml:space="preserve">Kansas City, MO</t>
  </si>
  <si>
    <t xml:space="preserve">Audio, ASL, audio-description tours</t>
  </si>
  <si>
    <t xml:space="preserve">https://smartify.org/partners/case-studies/nelson-atkins-museum-of-art</t>
  </si>
  <si>
    <t xml:space="preserve">Philadelphia Museum of Art</t>
  </si>
  <si>
    <t xml:space="preserve">Gallery pages on Smartify</t>
  </si>
  <si>
    <t xml:space="preserve">Philadelphia</t>
  </si>
  <si>
    <t xml:space="preserve">Gallery/object pages</t>
  </si>
  <si>
    <t xml:space="preserve">https://app.smartify.org/en-GB/venues/gallery-344</t>
  </si>
  <si>
    <t xml:space="preserve">Princeton University Art Museum</t>
  </si>
  <si>
    <t xml:space="preserve">Custom-branded web app at new museum opening</t>
  </si>
  <si>
    <t xml:space="preserve">Princeton, NJ</t>
  </si>
  <si>
    <t xml:space="preserve">Web app guide</t>
  </si>
  <si>
    <t xml:space="preserve">https://partners.smartify.org/projects/princeton-university-art-museum-smartify</t>
  </si>
  <si>
    <t xml:space="preserve">Saint Louis Art Museum</t>
  </si>
  <si>
    <t xml:space="preserve">Named in AT&amp;T x Smartify campaign</t>
  </si>
  <si>
    <t xml:space="preserve">St Louis, MO</t>
  </si>
  <si>
    <t xml:space="preserve">c.2019</t>
  </si>
  <si>
    <t xml:space="preserve">https://www.ccicomms.com/post/at-t-partners-with-museums-app-smartify-to-reimagine-monet-s-water-lilies-for-international-museum-d</t>
  </si>
  <si>
    <t xml:space="preserve">Smithsonian American Art Museum</t>
  </si>
  <si>
    <t xml:space="preserve">AI-personalised tours; AR game 'Temple of Invention'</t>
  </si>
  <si>
    <t xml:space="preserve">Audio, AI tours, AR game</t>
  </si>
  <si>
    <t xml:space="preserve">https://partners.smartify.org/projects/ai-tours-and-an-ar-game-for-the-smithsonian-american-art-museum</t>
  </si>
  <si>
    <t xml:space="preserve">The Metropolitan Museum of Art (incl. The Met Cloisters)</t>
  </si>
  <si>
    <t xml:space="preserve">Early partner; venue pages</t>
  </si>
  <si>
    <t xml:space="preserve">New York</t>
  </si>
  <si>
    <t xml:space="preserve">Artwork scanning, venue listing</t>
  </si>
  <si>
    <t xml:space="preserve">https://smartify.org/venues/the-met-cloisters</t>
  </si>
  <si>
    <t xml:space="preserve">The Mint Museum</t>
  </si>
  <si>
    <t xml:space="preserve">Joined Smartify; venue page</t>
  </si>
  <si>
    <t xml:space="preserve">Charlotte, NC</t>
  </si>
  <si>
    <t xml:space="preserve">The Museum of Modern Art (MoMA)</t>
  </si>
  <si>
    <t xml:space="preserve">Named as user in 2019 Lowry release</t>
  </si>
  <si>
    <t xml:space="preserve">2019</t>
  </si>
  <si>
    <t xml:space="preserve">Ulrich Museum of Art (Wichita State)</t>
  </si>
  <si>
    <t xml:space="preserve">Interactive digital maps</t>
  </si>
  <si>
    <t xml:space="preserve">Wichita, KS</t>
  </si>
  <si>
    <t xml:space="preserve">Digital maps, scanning</t>
  </si>
  <si>
    <t xml:space="preserve">https://ulrich.wichita.edu/ulrich-essentials/</t>
  </si>
  <si>
    <t xml:space="preserve">Yale Center for British Art</t>
  </si>
  <si>
    <t xml:space="preserve">Smartify app page</t>
  </si>
  <si>
    <t xml:space="preserve">New Haven, CT</t>
  </si>
  <si>
    <t xml:space="preserve">Scanning, tours</t>
  </si>
  <si>
    <t xml:space="preserve">https://britishart.yale.edu/smartify-app</t>
  </si>
  <si>
    <t xml:space="preserve">Yale University Art Gallery</t>
  </si>
  <si>
    <t xml:space="preserve">App used across permanent-collection galleries</t>
  </si>
  <si>
    <t xml:space="preserve">Scanning, audio/video, tours</t>
  </si>
  <si>
    <t xml:space="preserve">https://artgallery.yale.edu/visit/mobile-app</t>
  </si>
  <si>
    <t xml:space="preserve">Irish Museum of Modern Art (IMMA)</t>
  </si>
  <si>
    <t xml:space="preserve">Venue page with collection galleries</t>
  </si>
  <si>
    <t xml:space="preserve">Dublin</t>
  </si>
  <si>
    <t xml:space="preserve">Ireland</t>
  </si>
  <si>
    <t xml:space="preserve">UK &amp; Ireland</t>
  </si>
  <si>
    <t xml:space="preserve">Venue listing, gallery guides</t>
  </si>
  <si>
    <t xml:space="preserve">https://app.smartify.org/en-GB/venues/irishmuseumofmodernart</t>
  </si>
  <si>
    <t xml:space="preserve">National Gallery of Ireland</t>
  </si>
  <si>
    <t xml:space="preserve">Venue page with displays and tours</t>
  </si>
  <si>
    <t xml:space="preserve">Tours</t>
  </si>
  <si>
    <t xml:space="preserve">https://app.smartify.org/en-GB/venues/national-gallery-of-ireland-4eh0e</t>
  </si>
  <si>
    <t xml:space="preserve">The Shackleton Experience</t>
  </si>
  <si>
    <t xml:space="preserve">Multilingual web guide + AR; opened Oct 2025</t>
  </si>
  <si>
    <t xml:space="preserve">Museum</t>
  </si>
  <si>
    <t xml:space="preserve">Web app guide, AR</t>
  </si>
  <si>
    <t xml:space="preserve">https://smartify.org/partners/case-studies/shackleton-experience</t>
  </si>
  <si>
    <t xml:space="preserve">Ashmolean Museum</t>
  </si>
  <si>
    <t xml:space="preserve">Smartify audio tours</t>
  </si>
  <si>
    <t xml:space="preserve">Oxford</t>
  </si>
  <si>
    <t xml:space="preserve">UK</t>
  </si>
  <si>
    <t xml:space="preserve">https://www.ashmolean.org/smartify</t>
  </si>
  <si>
    <t xml:space="preserve">Ben Uri Gallery and Museum</t>
  </si>
  <si>
    <t xml:space="preserve">Appears in Smartify venue directory</t>
  </si>
  <si>
    <t xml:space="preserve">London</t>
  </si>
  <si>
    <t xml:space="preserve">https://smartify.org/venues/sculpture-in-the-city</t>
  </si>
  <si>
    <t xml:space="preserve">Blair Castle (Atholl Estates)</t>
  </si>
  <si>
    <t xml:space="preserve">Free-flow audio tour in 5 languages</t>
  </si>
  <si>
    <t xml:space="preserve">Blair Atholl</t>
  </si>
  <si>
    <t xml:space="preserve">Castle</t>
  </si>
  <si>
    <t xml:space="preserve">Audio tour</t>
  </si>
  <si>
    <t xml:space="preserve">https://atholl-estates.co.uk/blair-castle/self-guided-tours/</t>
  </si>
  <si>
    <t xml:space="preserve">Bodleian Libraries</t>
  </si>
  <si>
    <t xml:space="preserve">Outdoor multilingual audio trail of library architecture</t>
  </si>
  <si>
    <t xml:space="preserve">Library</t>
  </si>
  <si>
    <t xml:space="preserve">Audio trail</t>
  </si>
  <si>
    <t xml:space="preserve">https://partners.smartify.org/</t>
  </si>
  <si>
    <t xml:space="preserve">Brora Heritage Centre (Clyne Heritage Society)</t>
  </si>
  <si>
    <t xml:space="preserve">XpoNorth Digital Highlands programme</t>
  </si>
  <si>
    <t xml:space="preserve">Brora</t>
  </si>
  <si>
    <t xml:space="preserve">Heritage centre</t>
  </si>
  <si>
    <t xml:space="preserve">Digitised collection, tour</t>
  </si>
  <si>
    <t xml:space="preserve">2023</t>
  </si>
  <si>
    <t xml:space="preserve">https://www.northern-times.co.uk/news/brora-heritage-centre-one-of-six-to-feature-as-part-of-digi-301682/</t>
  </si>
  <si>
    <t xml:space="preserve">Cromarty Courthouse Museum</t>
  </si>
  <si>
    <t xml:space="preserve">XpoNorth programme; community AR experience (Sept 2026)</t>
  </si>
  <si>
    <t xml:space="preserve">Cromarty</t>
  </si>
  <si>
    <t xml:space="preserve">Tour, AR</t>
  </si>
  <si>
    <t xml:space="preserve">Gairloch Museum</t>
  </si>
  <si>
    <t xml:space="preserve">Gairloch</t>
  </si>
  <si>
    <t xml:space="preserve">https://xponorth.co.uk/news/six-museums-launch-virtual-tours-on-smartify-through-partnership-with-xponorth-digital</t>
  </si>
  <si>
    <t xml:space="preserve">Historic Royal Palaces</t>
  </si>
  <si>
    <t xml:space="preserve">Tower of London highlights &amp; family tours in 11 languages incl. BSL</t>
  </si>
  <si>
    <t xml:space="preserve">Heritage site</t>
  </si>
  <si>
    <t xml:space="preserve">Custom-branded BYOD web guide</t>
  </si>
  <si>
    <t xml:space="preserve">https://smartify.org/partners/case-studies/guides-historic-royal-palaces</t>
  </si>
  <si>
    <t xml:space="preserve">Horizon 22</t>
  </si>
  <si>
    <t xml:space="preserve">AR skyline scanner + expert audio guide</t>
  </si>
  <si>
    <t xml:space="preserve">Viewing platform</t>
  </si>
  <si>
    <t xml:space="preserve">AR, paid audio guide</t>
  </si>
  <si>
    <t xml:space="preserve">https://smartify.org/partners/case-studies/augmented-reality-skyline-scanner-horizon-22</t>
  </si>
  <si>
    <t xml:space="preserve">Horniman Museum and Gardens</t>
  </si>
  <si>
    <t xml:space="preserve">'Animals Everywhere!' web AR trail in the Gardens</t>
  </si>
  <si>
    <t xml:space="preserve">Museum &amp; gardens</t>
  </si>
  <si>
    <t xml:space="preserve">Web AR trail</t>
  </si>
  <si>
    <t xml:space="preserve">https://www.horniman.ac.uk/?p=13271</t>
  </si>
  <si>
    <t xml:space="preserve">Inverness Museum and Art Gallery</t>
  </si>
  <si>
    <t xml:space="preserve">Inverness</t>
  </si>
  <si>
    <t xml:space="preserve">Star-objects audio tour</t>
  </si>
  <si>
    <t xml:space="preserve">Kelvingrove Art Gallery and Museum (Glasgow Life)</t>
  </si>
  <si>
    <t xml:space="preserve">First Scottish venue to join Smartify</t>
  </si>
  <si>
    <t xml:space="preserve">Glasgow</t>
  </si>
  <si>
    <t xml:space="preserve">https://www.glasgowlife.org.uk/news/kelvingrove-museum-is-the-first-in-scotland-to-join-smartify</t>
  </si>
  <si>
    <t xml:space="preserve">Leighton House (RBKC)</t>
  </si>
  <si>
    <t xml:space="preserve">Object recognition, no QR codes; Sambourne House highlights also on Smartify</t>
  </si>
  <si>
    <t xml:space="preserve">Object recognition, tours</t>
  </si>
  <si>
    <t xml:space="preserve">2022</t>
  </si>
  <si>
    <t xml:space="preserve">https://partners.smartify.org/projects/leighton-house</t>
  </si>
  <si>
    <t xml:space="preserve">Museum of London</t>
  </si>
  <si>
    <t xml:space="preserve">Venue page with tours (e.g. 'Dub London')</t>
  </si>
  <si>
    <t xml:space="preserve">https://smartify.org/venues/museum-of-london</t>
  </si>
  <si>
    <t xml:space="preserve">National Galleries of Scotland</t>
  </si>
  <si>
    <t xml:space="preserve">Permanent collection; Ray Harryhausen AR; 'Walking on clouds' beacon audio</t>
  </si>
  <si>
    <t xml:space="preserve">Edinburgh</t>
  </si>
  <si>
    <t xml:space="preserve">Audio, AR, beacons</t>
  </si>
  <si>
    <t xml:space="preserve">2020–2025</t>
  </si>
  <si>
    <t xml:space="preserve">https://smartify.org/partners/case-studies/ray-harryhausen-ar</t>
  </si>
  <si>
    <t xml:space="preserve">National Motor Museum</t>
  </si>
  <si>
    <t xml:space="preserve">Free app tours, on-site Wi-Fi</t>
  </si>
  <si>
    <t xml:space="preserve">Beaulieu, Hampshire</t>
  </si>
  <si>
    <t xml:space="preserve">https://nationalmotormuseum.org.uk/news/smartify-at-the-national-motor-museum/</t>
  </si>
  <si>
    <t xml:space="preserve">National Museums Scotland</t>
  </si>
  <si>
    <t xml:space="preserve">National Museum of Scotland tours; National Museum of Flight tour</t>
  </si>
  <si>
    <t xml:space="preserve">Edinburgh / East Fortune</t>
  </si>
  <si>
    <t xml:space="preserve">Museum group</t>
  </si>
  <si>
    <t xml:space="preserve">Free audio tours &amp; trails</t>
  </si>
  <si>
    <t xml:space="preserve">https://www.nms.ac.uk/national-museum-of-scotland/see-and-do/tours-and-trails</t>
  </si>
  <si>
    <t xml:space="preserve">National Portrait Gallery (London)</t>
  </si>
  <si>
    <t xml:space="preserve">2017 pilot partner; CORDIS lists as partner</t>
  </si>
  <si>
    <t xml:space="preserve">Pilot (artwork scanning)</t>
  </si>
  <si>
    <t xml:space="preserve">Natural History Museum</t>
  </si>
  <si>
    <t xml:space="preserve">Visual-description audio guide for Urban Nature project</t>
  </si>
  <si>
    <t xml:space="preserve">Natural history museum</t>
  </si>
  <si>
    <t xml:space="preserve">Audio description guide</t>
  </si>
  <si>
    <t xml:space="preserve">https://www.victa.org.uk/victa-calendar/smartify-audio-guide-testing/</t>
  </si>
  <si>
    <t xml:space="preserve">Royal Academy of Arts</t>
  </si>
  <si>
    <t xml:space="preserve">Smartify launched here in Oct 2017</t>
  </si>
  <si>
    <t xml:space="preserve">Venue listing, artwork scanning</t>
  </si>
  <si>
    <t xml:space="preserve">https://app.smartify.org/en-GB/venues/royal-academy-of-arts</t>
  </si>
  <si>
    <t xml:space="preserve">Royal Holloway Picture Gallery</t>
  </si>
  <si>
    <t xml:space="preserve">Audio-described tour (award-nominated)</t>
  </si>
  <si>
    <t xml:space="preserve">Egham, Surrey</t>
  </si>
  <si>
    <t xml:space="preserve">University gallery</t>
  </si>
  <si>
    <t xml:space="preserve">Audio description tour</t>
  </si>
  <si>
    <t xml:space="preserve">https://jingdailyculture.com/smartify-royal-holloway-university-accessible-audio-guide/</t>
  </si>
  <si>
    <t xml:space="preserve">Royal Museums Greenwich</t>
  </si>
  <si>
    <t xml:space="preserve">National Maritime Museum, Royal Observatory, Queen's House, Cutty Sark</t>
  </si>
  <si>
    <t xml:space="preserve">Audio guides; Cutty Sark beacon soundscape (2024)</t>
  </si>
  <si>
    <t xml:space="preserve">https://smartify.org/partners/case-studies/immersive-audio-soundscape-cutty-sark</t>
  </si>
  <si>
    <t xml:space="preserve">Sainsbury Centre (UEA)</t>
  </si>
  <si>
    <t xml:space="preserve">Catalogue in app, object recognition, audio tours</t>
  </si>
  <si>
    <t xml:space="preserve">Norwich</t>
  </si>
  <si>
    <t xml:space="preserve">Audio tours, object recognition</t>
  </si>
  <si>
    <t xml:space="preserve">https://sainsburycentre.ac.uk/whats-on/smartify-audio-tours/</t>
  </si>
  <si>
    <t xml:space="preserve">Science Museum</t>
  </si>
  <si>
    <t xml:space="preserve">Audio description experience, Technicians' Gallery</t>
  </si>
  <si>
    <t xml:space="preserve">Science museum</t>
  </si>
  <si>
    <t xml:space="preserve">Audio description</t>
  </si>
  <si>
    <t xml:space="preserve">Sculpture in the City</t>
  </si>
  <si>
    <t xml:space="preserve">Venue page on Smartify</t>
  </si>
  <si>
    <t xml:space="preserve">Public art programme</t>
  </si>
  <si>
    <t xml:space="preserve">Strathnaver Museum</t>
  </si>
  <si>
    <t xml:space="preserve">XpoNorth programme, second round</t>
  </si>
  <si>
    <t xml:space="preserve">Bettyhill</t>
  </si>
  <si>
    <t xml:space="preserve">https://xponorth.co.uk/news/nine-museums-from-the-highlands-and-islands-now-have-their-digital-collections-and-stories-featured-on-leading-global-app</t>
  </si>
  <si>
    <t xml:space="preserve">Stromness Museum</t>
  </si>
  <si>
    <t xml:space="preserve">Stromness, Orkney</t>
  </si>
  <si>
    <t xml:space="preserve">Tate Modern</t>
  </si>
  <si>
    <t xml:space="preserve">Venue page on Smartify (Tate's own app is Bloomberg Connects)</t>
  </si>
  <si>
    <t xml:space="preserve">https://app.smartify.org/en-GB/venues/tate-modern</t>
  </si>
  <si>
    <t xml:space="preserve">The Argyll Collection</t>
  </si>
  <si>
    <t xml:space="preserve">Argyll</t>
  </si>
  <si>
    <t xml:space="preserve">Museum collection</t>
  </si>
  <si>
    <t xml:space="preserve">The Bowes Museum</t>
  </si>
  <si>
    <t xml:space="preserve">Venue page with galleries &amp; exhibitions</t>
  </si>
  <si>
    <t xml:space="preserve">Barnard Castle</t>
  </si>
  <si>
    <t xml:space="preserve">https://app.smartify.org/en-GB/venues/the-bowes-museum</t>
  </si>
  <si>
    <t xml:space="preserve">The British Library</t>
  </si>
  <si>
    <t xml:space="preserve">Tours hosted on Smartify (older press)</t>
  </si>
  <si>
    <t xml:space="preserve">Audio/visual tours</t>
  </si>
  <si>
    <t xml:space="preserve">The British Museum</t>
  </si>
  <si>
    <t xml:space="preserve">Venue page lists 15,000+ objects</t>
  </si>
  <si>
    <t xml:space="preserve">Venue listing, object pages</t>
  </si>
  <si>
    <t xml:space="preserve">https://smartify.org/venues/british-museum</t>
  </si>
  <si>
    <t xml:space="preserve">The Highlanders' Museum</t>
  </si>
  <si>
    <t xml:space="preserve">Fort George</t>
  </si>
  <si>
    <t xml:space="preserve">Military museum</t>
  </si>
  <si>
    <t xml:space="preserve">The Ingram Collection</t>
  </si>
  <si>
    <t xml:space="preserve">Named as a 2020 partnership in search summary</t>
  </si>
  <si>
    <t xml:space="preserve">Art collection</t>
  </si>
  <si>
    <t xml:space="preserve">The Lowry</t>
  </si>
  <si>
    <t xml:space="preserve">Launched on Smartify in 2019</t>
  </si>
  <si>
    <t xml:space="preserve">Salford</t>
  </si>
  <si>
    <t xml:space="preserve">Arts centre</t>
  </si>
  <si>
    <t xml:space="preserve">The National Archives</t>
  </si>
  <si>
    <t xml:space="preserve">Listed among Smartify case studies</t>
  </si>
  <si>
    <t xml:space="preserve">London (Kew)</t>
  </si>
  <si>
    <t xml:space="preserve">Archive</t>
  </si>
  <si>
    <t xml:space="preserve">https://smartify.org/partners/case-studies</t>
  </si>
  <si>
    <t xml:space="preserve">The National Gallery</t>
  </si>
  <si>
    <t xml:space="preserve">Exhibition audio tours sold with tickets; replaced hardware audio guides</t>
  </si>
  <si>
    <t xml:space="preserve">Audio tours, digital visitor strategy</t>
  </si>
  <si>
    <t xml:space="preserve">https://smartify.org/partners/case-studies/national-gallery</t>
  </si>
  <si>
    <t xml:space="preserve">The Orkney Museum</t>
  </si>
  <si>
    <t xml:space="preserve">Kirkwall, Orkney</t>
  </si>
  <si>
    <t xml:space="preserve">The Wallace Collection</t>
  </si>
  <si>
    <t xml:space="preserve">2017 pilot partner</t>
  </si>
  <si>
    <t xml:space="preserve">Upton House and Gardens (National Trust)</t>
  </si>
  <si>
    <t xml:space="preserve">First National Trust property on Smartify; whole collection scannable</t>
  </si>
  <si>
    <t xml:space="preserve">Banbury, Warwickshire</t>
  </si>
  <si>
    <t xml:space="preserve">Historic house</t>
  </si>
  <si>
    <t xml:space="preserve">Object recognition, audio tour (incl. BSL)</t>
  </si>
  <si>
    <t xml:space="preserve">https://smartify.org/partners/case-studies/digital-object-recognition-upton-house</t>
  </si>
  <si>
    <t xml:space="preserve">V&amp;A Dundee</t>
  </si>
  <si>
    <t xml:space="preserve">Most self-guided content free via Smartify</t>
  </si>
  <si>
    <t xml:space="preserve">Dundee</t>
  </si>
  <si>
    <t xml:space="preserve">Design museum</t>
  </si>
  <si>
    <t xml:space="preserve">Self-guided tours</t>
  </si>
  <si>
    <t xml:space="preserve">https://www.vam.ac.uk/dundee/info/tours-and-trails</t>
  </si>
  <si>
    <t xml:space="preserve">Watts Gallery – Artists' Village</t>
  </si>
  <si>
    <t xml:space="preserve">Free audio guide; volunteer training project</t>
  </si>
  <si>
    <t xml:space="preserve">Compton, Surrey</t>
  </si>
  <si>
    <t xml:space="preserve">https://partners.smartify.org/projects/watts-gallery-artists-village</t>
  </si>
  <si>
    <t xml:space="preserve">Smartify cultural organisations – summary</t>
  </si>
  <si>
    <t xml:space="preserve">By region</t>
  </si>
  <si>
    <t xml:space="preserve">Count</t>
  </si>
  <si>
    <t xml:space="preserve">Total</t>
  </si>
  <si>
    <t xml:space="preserve">By confidence</t>
  </si>
  <si>
    <t xml:space="preserve">Notes</t>
  </si>
  <si>
    <t xml:space="preserve">• Smartify says it works with 700+ cultural organisations; this sheet lists those found in public sources, so it is a partial list.</t>
  </si>
  <si>
    <t xml:space="preserve">• Compiled 13 Oct 2026 from web search. Smartify's own venue directory (smartify.org/venues) could not be loaded directly, so many venues listed only there are missing.</t>
  </si>
  <si>
    <t xml:space="preserve">• Confidence: High = Smartify case study, museum's own page or press release from ~2022 onward. Medium = appears on Smartify's venue pages, nature of partnership unclear. Low = only older (2017–2020) or indirect mentions; may no longer be active.</t>
  </si>
  <si>
    <t xml:space="preserve">• Group rows (e.g. Royal Museums Greenwich, Qatar Museums, National Museums Scotland) cover several sites, listed in 'Sites / notes'.</t>
  </si>
  <si>
    <t xml:space="preserve">• Not included: Smartify Media (unrelated advertising company).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</si>
</sst>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martifyOrgs" displayName="SmartifyOrgs" ref="A1:J90" headerRowCount="1" totalsRowCount="0" totalsRowShown="0">
  <autoFilter ref="A1:J90"/>
  <tableColumns count="10">
    <tableColumn id="1" name="Organisation"/>
    <tableColumn id="2" name="Sites / notes"/>
    <tableColumn id="3" name="City"/>
    <tableColumn id="4" name="Country"/>
    <tableColumn id="5" name="Region"/>
    <tableColumn id="6" name="Type"/>
    <tableColumn id="7" name="How they use Smartify"/>
    <tableColumn id="8" name="Latest evidence (year)"/>
    <tableColumn id="9" name="Confidence"/>
    <tableColumn id="10" name="Sour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martify.org/venues" TargetMode="External"/><Relationship Id="rId2" Type="http://schemas.openxmlformats.org/officeDocument/2006/relationships/hyperlink" Target="https://smartify.org/partners/articles/museum-of-fine-arts-ghent" TargetMode="External"/><Relationship Id="rId3" Type="http://schemas.openxmlformats.org/officeDocument/2006/relationships/hyperlink" Target="https://smartify.org/partners/articles/connecting-culture-across-benelux" TargetMode="External"/><Relationship Id="rId4" Type="http://schemas.openxmlformats.org/officeDocument/2006/relationships/hyperlink" Target="https://frederiksborg.dk/en/audioguide/" TargetMode="External"/><Relationship Id="rId5" Type="http://schemas.openxmlformats.org/officeDocument/2006/relationships/hyperlink" Target="https://smartify.org/partners/articles/royal-danish-collection" TargetMode="External"/><Relationship Id="rId6" Type="http://schemas.openxmlformats.org/officeDocument/2006/relationships/hyperlink" Target="https://smartify.org/venues" TargetMode="External"/><Relationship Id="rId7" Type="http://schemas.openxmlformats.org/officeDocument/2006/relationships/hyperlink" Target="https://smartify.org/partners/case-studies/hamburger-kunsthalle" TargetMode="External"/><Relationship Id="rId8" Type="http://schemas.openxmlformats.org/officeDocument/2006/relationships/hyperlink" Target="https://www.mintmuseum.org/?p=54948" TargetMode="External"/><Relationship Id="rId9" Type="http://schemas.openxmlformats.org/officeDocument/2006/relationships/hyperlink" Target="https://smartify.org/partners/case-studies/acropolis-museum" TargetMode="External"/><Relationship Id="rId10" Type="http://schemas.openxmlformats.org/officeDocument/2006/relationships/hyperlink" Target="https://www.emst.gr/en/events-en/smartify-at-emst" TargetMode="External"/><Relationship Id="rId11" Type="http://schemas.openxmlformats.org/officeDocument/2006/relationships/hyperlink" Target="https://www.theartnewspaper.com/2017/09/22/new-app-invites-art-lovers-to-build-a-playlist-across-museums" TargetMode="External"/><Relationship Id="rId12" Type="http://schemas.openxmlformats.org/officeDocument/2006/relationships/hyperlink" Target="https://smartify.org/partners/articles/connecting-culture-across-benelux" TargetMode="External"/><Relationship Id="rId13" Type="http://schemas.openxmlformats.org/officeDocument/2006/relationships/hyperlink" Target="https://cordis.europa.eu/project/id/781928" TargetMode="External"/><Relationship Id="rId14" Type="http://schemas.openxmlformats.org/officeDocument/2006/relationships/hyperlink" Target="https://smartify.org/partners/case-studies/van-abbe-museum" TargetMode="External"/><Relationship Id="rId15" Type="http://schemas.openxmlformats.org/officeDocument/2006/relationships/hyperlink" Target="https://smartify.org/partners/articles/connecting-culture-across-benelux" TargetMode="External"/><Relationship Id="rId16" Type="http://schemas.openxmlformats.org/officeDocument/2006/relationships/hyperlink" Target="https://www.smithsonianmag.com/smart-news/app-aims-be-shazam-art-museum-180965199/" TargetMode="External"/><Relationship Id="rId17" Type="http://schemas.openxmlformats.org/officeDocument/2006/relationships/hyperlink" Target="https://www.theartnewspaper.com/2017/09/22/new-app-invites-art-lovers-to-build-a-playlist-across-museums" TargetMode="External"/><Relationship Id="rId18" Type="http://schemas.openxmlformats.org/officeDocument/2006/relationships/hyperlink" Target="https://cordis.europa.eu/project/id/781928" TargetMode="External"/><Relationship Id="rId19" Type="http://schemas.openxmlformats.org/officeDocument/2006/relationships/hyperlink" Target="https://app.smartify.org/en-GB/venues/qatar-museums" TargetMode="External"/><Relationship Id="rId20" Type="http://schemas.openxmlformats.org/officeDocument/2006/relationships/hyperlink" Target="https://www.mintmuseum.org/?p=54948" TargetMode="External"/><Relationship Id="rId21" Type="http://schemas.openxmlformats.org/officeDocument/2006/relationships/hyperlink" Target="https://smartify.org/venues/glass-curtain-gallery" TargetMode="External"/><Relationship Id="rId22" Type="http://schemas.openxmlformats.org/officeDocument/2006/relationships/hyperlink" Target="https://thelowry.com/2019/01/22/smartify-launch/" TargetMode="External"/><Relationship Id="rId23" Type="http://schemas.openxmlformats.org/officeDocument/2006/relationships/hyperlink" Target="https://www.smithsonianmag.com/smart-news/smartify-makes-all-its-audio-museum-tours-available-free-180974531/" TargetMode="External"/><Relationship Id="rId24" Type="http://schemas.openxmlformats.org/officeDocument/2006/relationships/hyperlink" Target="https://www.mintmuseum.org/?p=54948" TargetMode="External"/><Relationship Id="rId25" Type="http://schemas.openxmlformats.org/officeDocument/2006/relationships/hyperlink" Target="https://enewsletters.k-state.edu/beach/smartify-app/" TargetMode="External"/><Relationship Id="rId26" Type="http://schemas.openxmlformats.org/officeDocument/2006/relationships/hyperlink" Target="https://enewsletters.k-state.edu/beach/smartify-app/" TargetMode="External"/><Relationship Id="rId27" Type="http://schemas.openxmlformats.org/officeDocument/2006/relationships/hyperlink" Target="https://smartify.org/partners/case-studies/digital-visitor-guide-michigan-central" TargetMode="External"/><Relationship Id="rId28" Type="http://schemas.openxmlformats.org/officeDocument/2006/relationships/hyperlink" Target="https://www.mintmuseum.org/?p=54948" TargetMode="External"/><Relationship Id="rId29" Type="http://schemas.openxmlformats.org/officeDocument/2006/relationships/hyperlink" Target="https://partners.smartify.org/projects" TargetMode="External"/><Relationship Id="rId30" Type="http://schemas.openxmlformats.org/officeDocument/2006/relationships/hyperlink" Target="https://www.holocaustandhumanity.org/press-releases/the-nancy-david-wolf-holocaust-humanity-center-launches-new-interactive-audio-guide-in-partnership-with-smartify/" TargetMode="External"/><Relationship Id="rId31" Type="http://schemas.openxmlformats.org/officeDocument/2006/relationships/hyperlink" Target="https://smartify.org/venues/national-gallery-of-art" TargetMode="External"/><Relationship Id="rId32" Type="http://schemas.openxmlformats.org/officeDocument/2006/relationships/hyperlink" Target="https://www.mintmuseum.org/?p=54948" TargetMode="External"/><Relationship Id="rId33" Type="http://schemas.openxmlformats.org/officeDocument/2006/relationships/hyperlink" Target="https://npg.si.edu/es/node/150181" TargetMode="External"/><Relationship Id="rId34" Type="http://schemas.openxmlformats.org/officeDocument/2006/relationships/hyperlink" Target="https://smartify.org/partners/case-studies/nelson-atkins-museum-of-art" TargetMode="External"/><Relationship Id="rId35" Type="http://schemas.openxmlformats.org/officeDocument/2006/relationships/hyperlink" Target="https://app.smartify.org/en-GB/venues/gallery-344" TargetMode="External"/><Relationship Id="rId36" Type="http://schemas.openxmlformats.org/officeDocument/2006/relationships/hyperlink" Target="https://partners.smartify.org/projects/princeton-university-art-museum-smartify" TargetMode="External"/><Relationship Id="rId37" Type="http://schemas.openxmlformats.org/officeDocument/2006/relationships/hyperlink" Target="https://www.ccicomms.com/post/at-t-partners-with-museums-app-smartify-to-reimagine-monet-s-water-lilies-for-international-museum-d" TargetMode="External"/><Relationship Id="rId38" Type="http://schemas.openxmlformats.org/officeDocument/2006/relationships/hyperlink" Target="https://partners.smartify.org/projects/ai-tours-and-an-ar-game-for-the-smithsonian-american-art-museum" TargetMode="External"/><Relationship Id="rId39" Type="http://schemas.openxmlformats.org/officeDocument/2006/relationships/hyperlink" Target="https://smartify.org/venues/the-met-cloisters" TargetMode="External"/><Relationship Id="rId40" Type="http://schemas.openxmlformats.org/officeDocument/2006/relationships/hyperlink" Target="https://www.mintmuseum.org/?p=54948" TargetMode="External"/><Relationship Id="rId41" Type="http://schemas.openxmlformats.org/officeDocument/2006/relationships/hyperlink" Target="https://thelowry.com/2019/01/22/smartify-launch/" TargetMode="External"/><Relationship Id="rId42" Type="http://schemas.openxmlformats.org/officeDocument/2006/relationships/hyperlink" Target="https://ulrich.wichita.edu/ulrich-essentials/" TargetMode="External"/><Relationship Id="rId43" Type="http://schemas.openxmlformats.org/officeDocument/2006/relationships/hyperlink" Target="https://britishart.yale.edu/smartify-app" TargetMode="External"/><Relationship Id="rId44" Type="http://schemas.openxmlformats.org/officeDocument/2006/relationships/hyperlink" Target="https://artgallery.yale.edu/visit/mobile-app" TargetMode="External"/><Relationship Id="rId45" Type="http://schemas.openxmlformats.org/officeDocument/2006/relationships/hyperlink" Target="https://app.smartify.org/en-GB/venues/irishmuseumofmodernart" TargetMode="External"/><Relationship Id="rId46" Type="http://schemas.openxmlformats.org/officeDocument/2006/relationships/hyperlink" Target="https://app.smartify.org/en-GB/venues/national-gallery-of-ireland-4eh0e" TargetMode="External"/><Relationship Id="rId47" Type="http://schemas.openxmlformats.org/officeDocument/2006/relationships/hyperlink" Target="https://smartify.org/partners/case-studies/shackleton-experience" TargetMode="External"/><Relationship Id="rId48" Type="http://schemas.openxmlformats.org/officeDocument/2006/relationships/hyperlink" Target="https://www.ashmolean.org/smartify" TargetMode="External"/><Relationship Id="rId49" Type="http://schemas.openxmlformats.org/officeDocument/2006/relationships/hyperlink" Target="https://smartify.org/venues/sculpture-in-the-city" TargetMode="External"/><Relationship Id="rId50" Type="http://schemas.openxmlformats.org/officeDocument/2006/relationships/hyperlink" Target="https://atholl-estates.co.uk/blair-castle/self-guided-tours/" TargetMode="External"/><Relationship Id="rId51" Type="http://schemas.openxmlformats.org/officeDocument/2006/relationships/hyperlink" Target="https://partners.smartify.org/" TargetMode="External"/><Relationship Id="rId52" Type="http://schemas.openxmlformats.org/officeDocument/2006/relationships/hyperlink" Target="https://www.northern-times.co.uk/news/brora-heritage-centre-one-of-six-to-feature-as-part-of-digi-301682/" TargetMode="External"/><Relationship Id="rId53" Type="http://schemas.openxmlformats.org/officeDocument/2006/relationships/hyperlink" Target="https://partners.smartify.org/" TargetMode="External"/><Relationship Id="rId54" Type="http://schemas.openxmlformats.org/officeDocument/2006/relationships/hyperlink" Target="https://xponorth.co.uk/news/six-museums-launch-virtual-tours-on-smartify-through-partnership-with-xponorth-digital" TargetMode="External"/><Relationship Id="rId55" Type="http://schemas.openxmlformats.org/officeDocument/2006/relationships/hyperlink" Target="https://smartify.org/partners/case-studies/guides-historic-royal-palaces" TargetMode="External"/><Relationship Id="rId56" Type="http://schemas.openxmlformats.org/officeDocument/2006/relationships/hyperlink" Target="https://smartify.org/partners/case-studies/augmented-reality-skyline-scanner-horizon-22" TargetMode="External"/><Relationship Id="rId57" Type="http://schemas.openxmlformats.org/officeDocument/2006/relationships/hyperlink" Target="https://www.horniman.ac.uk/?p=13271" TargetMode="External"/><Relationship Id="rId58" Type="http://schemas.openxmlformats.org/officeDocument/2006/relationships/hyperlink" Target="https://xponorth.co.uk/news/six-museums-launch-virtual-tours-on-smartify-through-partnership-with-xponorth-digital" TargetMode="External"/><Relationship Id="rId59" Type="http://schemas.openxmlformats.org/officeDocument/2006/relationships/hyperlink" Target="https://www.glasgowlife.org.uk/news/kelvingrove-museum-is-the-first-in-scotland-to-join-smartify" TargetMode="External"/><Relationship Id="rId60" Type="http://schemas.openxmlformats.org/officeDocument/2006/relationships/hyperlink" Target="https://partners.smartify.org/projects/leighton-house" TargetMode="External"/><Relationship Id="rId61" Type="http://schemas.openxmlformats.org/officeDocument/2006/relationships/hyperlink" Target="https://smartify.org/venues/museum-of-london" TargetMode="External"/><Relationship Id="rId62" Type="http://schemas.openxmlformats.org/officeDocument/2006/relationships/hyperlink" Target="https://smartify.org/partners/case-studies/ray-harryhausen-ar" TargetMode="External"/><Relationship Id="rId63" Type="http://schemas.openxmlformats.org/officeDocument/2006/relationships/hyperlink" Target="https://nationalmotormuseum.org.uk/news/smartify-at-the-national-motor-museum/" TargetMode="External"/><Relationship Id="rId64" Type="http://schemas.openxmlformats.org/officeDocument/2006/relationships/hyperlink" Target="https://www.nms.ac.uk/national-museum-of-scotland/see-and-do/tours-and-trails" TargetMode="External"/><Relationship Id="rId65" Type="http://schemas.openxmlformats.org/officeDocument/2006/relationships/hyperlink" Target="https://cordis.europa.eu/project/id/781928" TargetMode="External"/><Relationship Id="rId66" Type="http://schemas.openxmlformats.org/officeDocument/2006/relationships/hyperlink" Target="https://www.victa.org.uk/victa-calendar/smartify-audio-guide-testing/" TargetMode="External"/><Relationship Id="rId67" Type="http://schemas.openxmlformats.org/officeDocument/2006/relationships/hyperlink" Target="https://app.smartify.org/en-GB/venues/royal-academy-of-arts" TargetMode="External"/><Relationship Id="rId68" Type="http://schemas.openxmlformats.org/officeDocument/2006/relationships/hyperlink" Target="https://jingdailyculture.com/smartify-royal-holloway-university-accessible-audio-guide/" TargetMode="External"/><Relationship Id="rId69" Type="http://schemas.openxmlformats.org/officeDocument/2006/relationships/hyperlink" Target="https://smartify.org/partners/case-studies/immersive-audio-soundscape-cutty-sark" TargetMode="External"/><Relationship Id="rId70" Type="http://schemas.openxmlformats.org/officeDocument/2006/relationships/hyperlink" Target="https://sainsburycentre.ac.uk/whats-on/smartify-audio-tours/" TargetMode="External"/><Relationship Id="rId71" Type="http://schemas.openxmlformats.org/officeDocument/2006/relationships/hyperlink" Target="https://partners.smartify.org/projects" TargetMode="External"/><Relationship Id="rId72" Type="http://schemas.openxmlformats.org/officeDocument/2006/relationships/hyperlink" Target="https://smartify.org/venues/sculpture-in-the-city" TargetMode="External"/><Relationship Id="rId73" Type="http://schemas.openxmlformats.org/officeDocument/2006/relationships/hyperlink" Target="https://xponorth.co.uk/news/nine-museums-from-the-highlands-and-islands-now-have-their-digital-collections-and-stories-featured-on-leading-global-app" TargetMode="External"/><Relationship Id="rId74" Type="http://schemas.openxmlformats.org/officeDocument/2006/relationships/hyperlink" Target="https://xponorth.co.uk/news/six-museums-launch-virtual-tours-on-smartify-through-partnership-with-xponorth-digital" TargetMode="External"/><Relationship Id="rId75" Type="http://schemas.openxmlformats.org/officeDocument/2006/relationships/hyperlink" Target="https://app.smartify.org/en-GB/venues/tate-modern" TargetMode="External"/><Relationship Id="rId76" Type="http://schemas.openxmlformats.org/officeDocument/2006/relationships/hyperlink" Target="https://xponorth.co.uk/news/nine-museums-from-the-highlands-and-islands-now-have-their-digital-collections-and-stories-featured-on-leading-global-app" TargetMode="External"/><Relationship Id="rId77" Type="http://schemas.openxmlformats.org/officeDocument/2006/relationships/hyperlink" Target="https://app.smartify.org/en-GB/venues/the-bowes-museum" TargetMode="External"/><Relationship Id="rId78" Type="http://schemas.openxmlformats.org/officeDocument/2006/relationships/hyperlink" Target="https://www.smithsonianmag.com/smart-news/smartify-makes-all-its-audio-museum-tours-available-free-180974531/" TargetMode="External"/><Relationship Id="rId79" Type="http://schemas.openxmlformats.org/officeDocument/2006/relationships/hyperlink" Target="https://smartify.org/venues/british-museum" TargetMode="External"/><Relationship Id="rId80" Type="http://schemas.openxmlformats.org/officeDocument/2006/relationships/hyperlink" Target="https://xponorth.co.uk/news/six-museums-launch-virtual-tours-on-smartify-through-partnership-with-xponorth-digital" TargetMode="External"/><Relationship Id="rId81" Type="http://schemas.openxmlformats.org/officeDocument/2006/relationships/hyperlink" Target="https://partners.smartify.org/projects" TargetMode="External"/><Relationship Id="rId82" Type="http://schemas.openxmlformats.org/officeDocument/2006/relationships/hyperlink" Target="https://thelowry.com/2019/01/22/smartify-launch/" TargetMode="External"/><Relationship Id="rId83" Type="http://schemas.openxmlformats.org/officeDocument/2006/relationships/hyperlink" Target="https://smartify.org/partners/case-studies" TargetMode="External"/><Relationship Id="rId84" Type="http://schemas.openxmlformats.org/officeDocument/2006/relationships/hyperlink" Target="https://smartify.org/partners/case-studies/national-gallery" TargetMode="External"/><Relationship Id="rId85" Type="http://schemas.openxmlformats.org/officeDocument/2006/relationships/hyperlink" Target="https://xponorth.co.uk/news/nine-museums-from-the-highlands-and-islands-now-have-their-digital-collections-and-stories-featured-on-leading-global-app" TargetMode="External"/><Relationship Id="rId86" Type="http://schemas.openxmlformats.org/officeDocument/2006/relationships/hyperlink" Target="https://www.theartnewspaper.com/2017/09/22/new-app-invites-art-lovers-to-build-a-playlist-across-museums" TargetMode="External"/><Relationship Id="rId87" Type="http://schemas.openxmlformats.org/officeDocument/2006/relationships/hyperlink" Target="https://smartify.org/partners/case-studies/digital-object-recognition-upton-house" TargetMode="External"/><Relationship Id="rId88" Type="http://schemas.openxmlformats.org/officeDocument/2006/relationships/hyperlink" Target="https://www.vam.ac.uk/dundee/info/tours-and-trails" TargetMode="External"/><Relationship Id="rId89" Type="http://schemas.openxmlformats.org/officeDocument/2006/relationships/hyperlink" Target="https://partners.smartify.org/projects/watts-gallery-artists-village" TargetMode="External"/><Relationship Id="rId90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32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55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</row>
    <row r="3" customFormat="false" ht="15" hidden="false" customHeight="false" outlineLevel="0" collapsed="false">
      <c r="A3" s="2" t="s">
        <v>20</v>
      </c>
      <c r="B3" s="2" t="s">
        <v>21</v>
      </c>
      <c r="C3" s="2" t="s">
        <v>22</v>
      </c>
      <c r="D3" s="2" t="s">
        <v>23</v>
      </c>
      <c r="E3" s="2" t="s">
        <v>14</v>
      </c>
      <c r="F3" s="2" t="s">
        <v>15</v>
      </c>
      <c r="G3" s="2" t="s">
        <v>24</v>
      </c>
      <c r="H3" s="2" t="s">
        <v>25</v>
      </c>
      <c r="I3" s="2" t="s">
        <v>26</v>
      </c>
      <c r="J3" s="3" t="s">
        <v>27</v>
      </c>
    </row>
    <row r="4" customFormat="false" ht="23.85" hidden="false" customHeight="false" outlineLevel="0" collapsed="false">
      <c r="A4" s="2" t="s">
        <v>28</v>
      </c>
      <c r="B4" s="2" t="s">
        <v>29</v>
      </c>
      <c r="C4" s="2" t="s">
        <v>30</v>
      </c>
      <c r="D4" s="2" t="s">
        <v>31</v>
      </c>
      <c r="E4" s="2" t="s">
        <v>14</v>
      </c>
      <c r="F4" s="2" t="s">
        <v>32</v>
      </c>
      <c r="G4" s="2" t="s">
        <v>33</v>
      </c>
      <c r="H4" s="2" t="s">
        <v>34</v>
      </c>
      <c r="I4" s="2" t="s">
        <v>18</v>
      </c>
      <c r="J4" s="3" t="s">
        <v>35</v>
      </c>
    </row>
    <row r="5" customFormat="false" ht="23.85" hidden="false" customHeight="false" outlineLevel="0" collapsed="false">
      <c r="A5" s="2" t="s">
        <v>36</v>
      </c>
      <c r="B5" s="2" t="s">
        <v>37</v>
      </c>
      <c r="C5" s="2" t="s">
        <v>38</v>
      </c>
      <c r="D5" s="2" t="s">
        <v>39</v>
      </c>
      <c r="E5" s="2" t="s">
        <v>14</v>
      </c>
      <c r="F5" s="2" t="s">
        <v>40</v>
      </c>
      <c r="G5" s="2" t="s">
        <v>41</v>
      </c>
      <c r="H5" s="2" t="s">
        <v>42</v>
      </c>
      <c r="I5" s="2" t="s">
        <v>26</v>
      </c>
      <c r="J5" s="3" t="s">
        <v>43</v>
      </c>
    </row>
    <row r="6" customFormat="false" ht="15" hidden="false" customHeight="false" outlineLevel="0" collapsed="false">
      <c r="A6" s="2" t="s">
        <v>44</v>
      </c>
      <c r="B6" s="2" t="s">
        <v>45</v>
      </c>
      <c r="C6" s="2" t="s">
        <v>46</v>
      </c>
      <c r="D6" s="2" t="s">
        <v>39</v>
      </c>
      <c r="E6" s="2" t="s">
        <v>14</v>
      </c>
      <c r="F6" s="2" t="s">
        <v>47</v>
      </c>
      <c r="G6" s="2" t="s">
        <v>48</v>
      </c>
      <c r="H6" s="2" t="s">
        <v>34</v>
      </c>
      <c r="I6" s="2" t="s">
        <v>26</v>
      </c>
      <c r="J6" s="3" t="s">
        <v>49</v>
      </c>
    </row>
    <row r="7" customFormat="false" ht="23.85" hidden="false" customHeight="false" outlineLevel="0" collapsed="false">
      <c r="A7" s="2" t="s">
        <v>50</v>
      </c>
      <c r="B7" s="2" t="s">
        <v>51</v>
      </c>
      <c r="C7" s="2" t="s">
        <v>52</v>
      </c>
      <c r="D7" s="2" t="s">
        <v>53</v>
      </c>
      <c r="E7" s="2" t="s">
        <v>14</v>
      </c>
      <c r="F7" s="2" t="s">
        <v>54</v>
      </c>
      <c r="G7" s="2" t="s">
        <v>33</v>
      </c>
      <c r="H7" s="2" t="s">
        <v>17</v>
      </c>
      <c r="I7" s="2" t="s">
        <v>18</v>
      </c>
      <c r="J7" s="3" t="s">
        <v>19</v>
      </c>
    </row>
    <row r="8" customFormat="false" ht="15" hidden="false" customHeight="false" outlineLevel="0" collapsed="false">
      <c r="A8" s="2" t="s">
        <v>55</v>
      </c>
      <c r="B8" s="2" t="s">
        <v>56</v>
      </c>
      <c r="C8" s="2" t="s">
        <v>57</v>
      </c>
      <c r="D8" s="2" t="s">
        <v>53</v>
      </c>
      <c r="E8" s="2" t="s">
        <v>14</v>
      </c>
      <c r="F8" s="2" t="s">
        <v>15</v>
      </c>
      <c r="G8" s="2" t="s">
        <v>58</v>
      </c>
      <c r="H8" s="2" t="s">
        <v>34</v>
      </c>
      <c r="I8" s="2" t="s">
        <v>26</v>
      </c>
      <c r="J8" s="3" t="s">
        <v>59</v>
      </c>
    </row>
    <row r="9" customFormat="false" ht="15" hidden="false" customHeight="false" outlineLevel="0" collapsed="false">
      <c r="A9" s="2" t="s">
        <v>60</v>
      </c>
      <c r="B9" s="2" t="s">
        <v>61</v>
      </c>
      <c r="C9" s="2" t="s">
        <v>62</v>
      </c>
      <c r="D9" s="2" t="s">
        <v>53</v>
      </c>
      <c r="E9" s="2" t="s">
        <v>14</v>
      </c>
      <c r="F9" s="2" t="s">
        <v>15</v>
      </c>
      <c r="G9" s="2" t="s">
        <v>63</v>
      </c>
      <c r="H9" s="2" t="s">
        <v>64</v>
      </c>
      <c r="I9" s="2" t="s">
        <v>65</v>
      </c>
      <c r="J9" s="3" t="s">
        <v>66</v>
      </c>
    </row>
    <row r="10" customFormat="false" ht="23.85" hidden="false" customHeight="false" outlineLevel="0" collapsed="false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14</v>
      </c>
      <c r="F10" s="2" t="s">
        <v>71</v>
      </c>
      <c r="G10" s="2" t="s">
        <v>72</v>
      </c>
      <c r="H10" s="2" t="s">
        <v>34</v>
      </c>
      <c r="I10" s="2" t="s">
        <v>26</v>
      </c>
      <c r="J10" s="3" t="s">
        <v>73</v>
      </c>
    </row>
    <row r="11" customFormat="false" ht="23.85" hidden="false" customHeight="false" outlineLevel="0" collapsed="false">
      <c r="A11" s="2" t="s">
        <v>74</v>
      </c>
      <c r="B11" s="2" t="s">
        <v>75</v>
      </c>
      <c r="C11" s="2" t="s">
        <v>69</v>
      </c>
      <c r="D11" s="2" t="s">
        <v>70</v>
      </c>
      <c r="E11" s="2" t="s">
        <v>14</v>
      </c>
      <c r="F11" s="2" t="s">
        <v>15</v>
      </c>
      <c r="G11" s="2" t="s">
        <v>76</v>
      </c>
      <c r="H11" s="2" t="s">
        <v>17</v>
      </c>
      <c r="I11" s="2" t="s">
        <v>18</v>
      </c>
      <c r="J11" s="3" t="s">
        <v>77</v>
      </c>
    </row>
    <row r="12" customFormat="false" ht="15" hidden="false" customHeight="false" outlineLevel="0" collapsed="false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14</v>
      </c>
      <c r="F12" s="2" t="s">
        <v>82</v>
      </c>
      <c r="G12" s="2" t="s">
        <v>76</v>
      </c>
      <c r="H12" s="2" t="s">
        <v>83</v>
      </c>
      <c r="I12" s="2" t="s">
        <v>65</v>
      </c>
      <c r="J12" s="3" t="s">
        <v>84</v>
      </c>
    </row>
    <row r="13" customFormat="false" ht="15" hidden="false" customHeight="false" outlineLevel="0" collapsed="false">
      <c r="A13" s="2" t="s">
        <v>85</v>
      </c>
      <c r="B13" s="2" t="s">
        <v>86</v>
      </c>
      <c r="C13" s="2" t="s">
        <v>87</v>
      </c>
      <c r="D13" s="2" t="s">
        <v>88</v>
      </c>
      <c r="E13" s="2" t="s">
        <v>14</v>
      </c>
      <c r="F13" s="2" t="s">
        <v>89</v>
      </c>
      <c r="G13" s="2" t="s">
        <v>33</v>
      </c>
      <c r="H13" s="2" t="s">
        <v>34</v>
      </c>
      <c r="I13" s="2" t="s">
        <v>26</v>
      </c>
      <c r="J13" s="3" t="s">
        <v>35</v>
      </c>
    </row>
    <row r="14" customFormat="false" ht="15" hidden="false" customHeight="false" outlineLevel="0" collapsed="false">
      <c r="A14" s="2" t="s">
        <v>90</v>
      </c>
      <c r="B14" s="2" t="s">
        <v>91</v>
      </c>
      <c r="C14" s="2" t="s">
        <v>87</v>
      </c>
      <c r="D14" s="2" t="s">
        <v>88</v>
      </c>
      <c r="E14" s="2" t="s">
        <v>14</v>
      </c>
      <c r="F14" s="2" t="s">
        <v>15</v>
      </c>
      <c r="G14" s="2" t="s">
        <v>92</v>
      </c>
      <c r="H14" s="2" t="s">
        <v>83</v>
      </c>
      <c r="I14" s="2" t="s">
        <v>65</v>
      </c>
      <c r="J14" s="3" t="s">
        <v>93</v>
      </c>
    </row>
    <row r="15" customFormat="false" ht="15" hidden="false" customHeight="false" outlineLevel="0" collapsed="false">
      <c r="A15" s="2" t="s">
        <v>94</v>
      </c>
      <c r="B15" s="2" t="s">
        <v>95</v>
      </c>
      <c r="C15" s="2" t="s">
        <v>96</v>
      </c>
      <c r="D15" s="2" t="s">
        <v>88</v>
      </c>
      <c r="E15" s="2" t="s">
        <v>14</v>
      </c>
      <c r="F15" s="2" t="s">
        <v>15</v>
      </c>
      <c r="G15" s="2" t="s">
        <v>97</v>
      </c>
      <c r="H15" s="2" t="s">
        <v>42</v>
      </c>
      <c r="I15" s="2" t="s">
        <v>26</v>
      </c>
      <c r="J15" s="3" t="s">
        <v>98</v>
      </c>
    </row>
    <row r="16" customFormat="false" ht="15" hidden="false" customHeight="false" outlineLevel="0" collapsed="false">
      <c r="A16" s="2" t="s">
        <v>99</v>
      </c>
      <c r="B16" s="2" t="s">
        <v>86</v>
      </c>
      <c r="C16" s="2" t="s">
        <v>87</v>
      </c>
      <c r="D16" s="2" t="s">
        <v>88</v>
      </c>
      <c r="E16" s="2" t="s">
        <v>14</v>
      </c>
      <c r="F16" s="2" t="s">
        <v>100</v>
      </c>
      <c r="G16" s="2" t="s">
        <v>33</v>
      </c>
      <c r="H16" s="2" t="s">
        <v>34</v>
      </c>
      <c r="I16" s="2" t="s">
        <v>26</v>
      </c>
      <c r="J16" s="3" t="s">
        <v>35</v>
      </c>
    </row>
    <row r="17" customFormat="false" ht="15" hidden="false" customHeight="false" outlineLevel="0" collapsed="false">
      <c r="A17" s="2" t="s">
        <v>101</v>
      </c>
      <c r="B17" s="2" t="s">
        <v>102</v>
      </c>
      <c r="C17" s="2" t="s">
        <v>103</v>
      </c>
      <c r="D17" s="2" t="s">
        <v>104</v>
      </c>
      <c r="E17" s="2" t="s">
        <v>14</v>
      </c>
      <c r="F17" s="2" t="s">
        <v>15</v>
      </c>
      <c r="G17" s="2" t="s">
        <v>76</v>
      </c>
      <c r="H17" s="2" t="s">
        <v>64</v>
      </c>
      <c r="I17" s="2" t="s">
        <v>65</v>
      </c>
      <c r="J17" s="3" t="s">
        <v>105</v>
      </c>
    </row>
    <row r="18" customFormat="false" ht="15" hidden="false" customHeight="false" outlineLevel="0" collapsed="false">
      <c r="A18" s="2" t="s">
        <v>106</v>
      </c>
      <c r="B18" s="2" t="s">
        <v>107</v>
      </c>
      <c r="C18" s="2" t="s">
        <v>108</v>
      </c>
      <c r="D18" s="2" t="s">
        <v>104</v>
      </c>
      <c r="E18" s="2" t="s">
        <v>14</v>
      </c>
      <c r="F18" s="2" t="s">
        <v>15</v>
      </c>
      <c r="G18" s="2" t="s">
        <v>109</v>
      </c>
      <c r="H18" s="2" t="s">
        <v>83</v>
      </c>
      <c r="I18" s="2" t="s">
        <v>65</v>
      </c>
      <c r="J18" s="3" t="s">
        <v>84</v>
      </c>
    </row>
    <row r="19" customFormat="false" ht="15" hidden="false" customHeight="false" outlineLevel="0" collapsed="false">
      <c r="A19" s="2" t="s">
        <v>110</v>
      </c>
      <c r="B19" s="2" t="s">
        <v>111</v>
      </c>
      <c r="C19" s="2" t="s">
        <v>112</v>
      </c>
      <c r="D19" s="2" t="s">
        <v>113</v>
      </c>
      <c r="E19" s="2" t="s">
        <v>14</v>
      </c>
      <c r="F19" s="2" t="s">
        <v>15</v>
      </c>
      <c r="G19" s="2" t="s">
        <v>63</v>
      </c>
      <c r="H19" s="2" t="s">
        <v>64</v>
      </c>
      <c r="I19" s="2" t="s">
        <v>65</v>
      </c>
      <c r="J19" s="3" t="s">
        <v>93</v>
      </c>
    </row>
    <row r="20" customFormat="false" ht="23.85" hidden="false" customHeight="false" outlineLevel="0" collapsed="false">
      <c r="A20" s="2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119</v>
      </c>
      <c r="G20" s="2" t="s">
        <v>120</v>
      </c>
      <c r="H20" s="2" t="s">
        <v>42</v>
      </c>
      <c r="I20" s="2" t="s">
        <v>26</v>
      </c>
      <c r="J20" s="3" t="s">
        <v>121</v>
      </c>
    </row>
    <row r="21" customFormat="false" ht="15" hidden="false" customHeight="false" outlineLevel="0" collapsed="false">
      <c r="A21" s="2" t="s">
        <v>122</v>
      </c>
      <c r="B21" s="2" t="s">
        <v>61</v>
      </c>
      <c r="C21" s="2" t="s">
        <v>123</v>
      </c>
      <c r="D21" s="2" t="s">
        <v>124</v>
      </c>
      <c r="E21" s="2" t="s">
        <v>125</v>
      </c>
      <c r="F21" s="2" t="s">
        <v>15</v>
      </c>
      <c r="G21" s="2" t="s">
        <v>63</v>
      </c>
      <c r="H21" s="2" t="s">
        <v>64</v>
      </c>
      <c r="I21" s="2" t="s">
        <v>65</v>
      </c>
      <c r="J21" s="3" t="s">
        <v>66</v>
      </c>
    </row>
    <row r="22" customFormat="false" ht="23.85" hidden="false" customHeight="false" outlineLevel="0" collapsed="false">
      <c r="A22" s="2" t="s">
        <v>126</v>
      </c>
      <c r="B22" s="2" t="s">
        <v>127</v>
      </c>
      <c r="C22" s="2" t="s">
        <v>128</v>
      </c>
      <c r="D22" s="2" t="s">
        <v>129</v>
      </c>
      <c r="E22" s="2" t="s">
        <v>125</v>
      </c>
      <c r="F22" s="2" t="s">
        <v>130</v>
      </c>
      <c r="G22" s="2" t="s">
        <v>131</v>
      </c>
      <c r="H22" s="2" t="s">
        <v>17</v>
      </c>
      <c r="I22" s="2" t="s">
        <v>18</v>
      </c>
      <c r="J22" s="3" t="s">
        <v>132</v>
      </c>
    </row>
    <row r="23" customFormat="false" ht="15" hidden="false" customHeight="false" outlineLevel="0" collapsed="false">
      <c r="A23" s="2" t="s">
        <v>133</v>
      </c>
      <c r="B23" s="2" t="s">
        <v>134</v>
      </c>
      <c r="C23" s="2" t="s">
        <v>135</v>
      </c>
      <c r="D23" s="2" t="s">
        <v>129</v>
      </c>
      <c r="E23" s="2" t="s">
        <v>125</v>
      </c>
      <c r="F23" s="2" t="s">
        <v>15</v>
      </c>
      <c r="G23" s="2" t="s">
        <v>136</v>
      </c>
      <c r="H23" s="2" t="s">
        <v>137</v>
      </c>
      <c r="I23" s="2" t="s">
        <v>65</v>
      </c>
      <c r="J23" s="3" t="s">
        <v>138</v>
      </c>
    </row>
    <row r="24" customFormat="false" ht="15" hidden="false" customHeight="false" outlineLevel="0" collapsed="false">
      <c r="A24" s="2" t="s">
        <v>139</v>
      </c>
      <c r="B24" s="2" t="s">
        <v>140</v>
      </c>
      <c r="C24" s="2" t="s">
        <v>141</v>
      </c>
      <c r="D24" s="2" t="s">
        <v>129</v>
      </c>
      <c r="E24" s="2" t="s">
        <v>125</v>
      </c>
      <c r="F24" s="2" t="s">
        <v>15</v>
      </c>
      <c r="G24" s="2" t="s">
        <v>97</v>
      </c>
      <c r="H24" s="2" t="s">
        <v>137</v>
      </c>
      <c r="I24" s="2" t="s">
        <v>65</v>
      </c>
      <c r="J24" s="3" t="s">
        <v>142</v>
      </c>
    </row>
    <row r="25" customFormat="false" ht="15" hidden="false" customHeight="false" outlineLevel="0" collapsed="false">
      <c r="A25" s="2" t="s">
        <v>143</v>
      </c>
      <c r="B25" s="2" t="s">
        <v>144</v>
      </c>
      <c r="C25" s="2" t="s">
        <v>145</v>
      </c>
      <c r="D25" s="2" t="s">
        <v>129</v>
      </c>
      <c r="E25" s="2" t="s">
        <v>125</v>
      </c>
      <c r="F25" s="2" t="s">
        <v>15</v>
      </c>
      <c r="G25" s="2" t="s">
        <v>76</v>
      </c>
      <c r="H25" s="2" t="s">
        <v>146</v>
      </c>
      <c r="I25" s="2" t="s">
        <v>65</v>
      </c>
      <c r="J25" s="3" t="s">
        <v>66</v>
      </c>
    </row>
    <row r="26" customFormat="false" ht="15" hidden="false" customHeight="false" outlineLevel="0" collapsed="false">
      <c r="A26" s="2" t="s">
        <v>147</v>
      </c>
      <c r="B26" s="2" t="s">
        <v>144</v>
      </c>
      <c r="C26" s="2" t="s">
        <v>135</v>
      </c>
      <c r="D26" s="2" t="s">
        <v>129</v>
      </c>
      <c r="E26" s="2" t="s">
        <v>125</v>
      </c>
      <c r="F26" s="2" t="s">
        <v>15</v>
      </c>
      <c r="G26" s="2" t="s">
        <v>76</v>
      </c>
      <c r="H26" s="2" t="s">
        <v>64</v>
      </c>
      <c r="I26" s="2" t="s">
        <v>65</v>
      </c>
      <c r="J26" s="3" t="s">
        <v>148</v>
      </c>
    </row>
    <row r="27" customFormat="false" ht="23.85" hidden="false" customHeight="false" outlineLevel="0" collapsed="false">
      <c r="A27" s="2" t="s">
        <v>149</v>
      </c>
      <c r="B27" s="2" t="s">
        <v>150</v>
      </c>
      <c r="C27" s="2" t="s">
        <v>151</v>
      </c>
      <c r="D27" s="2" t="s">
        <v>129</v>
      </c>
      <c r="E27" s="2" t="s">
        <v>125</v>
      </c>
      <c r="F27" s="2" t="s">
        <v>152</v>
      </c>
      <c r="G27" s="2" t="s">
        <v>76</v>
      </c>
      <c r="H27" s="2" t="s">
        <v>17</v>
      </c>
      <c r="I27" s="2" t="s">
        <v>18</v>
      </c>
      <c r="J27" s="3" t="s">
        <v>148</v>
      </c>
    </row>
    <row r="28" customFormat="false" ht="15" hidden="false" customHeight="false" outlineLevel="0" collapsed="false">
      <c r="A28" s="2" t="s">
        <v>153</v>
      </c>
      <c r="B28" s="2" t="s">
        <v>154</v>
      </c>
      <c r="C28" s="2" t="s">
        <v>155</v>
      </c>
      <c r="D28" s="2" t="s">
        <v>129</v>
      </c>
      <c r="E28" s="2" t="s">
        <v>125</v>
      </c>
      <c r="F28" s="2" t="s">
        <v>156</v>
      </c>
      <c r="G28" s="2" t="s">
        <v>157</v>
      </c>
      <c r="H28" s="2" t="s">
        <v>42</v>
      </c>
      <c r="I28" s="2" t="s">
        <v>26</v>
      </c>
      <c r="J28" s="3" t="s">
        <v>158</v>
      </c>
    </row>
    <row r="29" customFormat="false" ht="15" hidden="false" customHeight="false" outlineLevel="0" collapsed="false">
      <c r="A29" s="2" t="s">
        <v>159</v>
      </c>
      <c r="B29" s="2" t="s">
        <v>144</v>
      </c>
      <c r="C29" s="2" t="s">
        <v>128</v>
      </c>
      <c r="D29" s="2" t="s">
        <v>129</v>
      </c>
      <c r="E29" s="2" t="s">
        <v>125</v>
      </c>
      <c r="F29" s="2" t="s">
        <v>160</v>
      </c>
      <c r="G29" s="2" t="s">
        <v>76</v>
      </c>
      <c r="H29" s="2" t="s">
        <v>64</v>
      </c>
      <c r="I29" s="2" t="s">
        <v>65</v>
      </c>
      <c r="J29" s="3" t="s">
        <v>66</v>
      </c>
    </row>
    <row r="30" customFormat="false" ht="15" hidden="false" customHeight="false" outlineLevel="0" collapsed="false">
      <c r="A30" s="2" t="s">
        <v>161</v>
      </c>
      <c r="B30" s="2" t="s">
        <v>162</v>
      </c>
      <c r="C30" s="2" t="s">
        <v>163</v>
      </c>
      <c r="D30" s="2" t="s">
        <v>129</v>
      </c>
      <c r="E30" s="2" t="s">
        <v>125</v>
      </c>
      <c r="F30" s="2" t="s">
        <v>15</v>
      </c>
      <c r="G30" s="2" t="s">
        <v>164</v>
      </c>
      <c r="H30" s="2" t="s">
        <v>34</v>
      </c>
      <c r="I30" s="2" t="s">
        <v>26</v>
      </c>
      <c r="J30" s="3" t="s">
        <v>165</v>
      </c>
    </row>
    <row r="31" customFormat="false" ht="23.85" hidden="false" customHeight="false" outlineLevel="0" collapsed="false">
      <c r="A31" s="2" t="s">
        <v>166</v>
      </c>
      <c r="B31" s="2" t="s">
        <v>167</v>
      </c>
      <c r="C31" s="2" t="s">
        <v>168</v>
      </c>
      <c r="D31" s="2" t="s">
        <v>129</v>
      </c>
      <c r="E31" s="2" t="s">
        <v>125</v>
      </c>
      <c r="F31" s="2" t="s">
        <v>169</v>
      </c>
      <c r="G31" s="2" t="s">
        <v>41</v>
      </c>
      <c r="H31" s="2" t="s">
        <v>42</v>
      </c>
      <c r="I31" s="2" t="s">
        <v>26</v>
      </c>
      <c r="J31" s="3" t="s">
        <v>170</v>
      </c>
    </row>
    <row r="32" customFormat="false" ht="23.85" hidden="false" customHeight="false" outlineLevel="0" collapsed="false">
      <c r="A32" s="2" t="s">
        <v>171</v>
      </c>
      <c r="B32" s="2" t="s">
        <v>172</v>
      </c>
      <c r="C32" s="2" t="s">
        <v>173</v>
      </c>
      <c r="D32" s="2" t="s">
        <v>129</v>
      </c>
      <c r="E32" s="2" t="s">
        <v>125</v>
      </c>
      <c r="F32" s="2" t="s">
        <v>15</v>
      </c>
      <c r="G32" s="2" t="s">
        <v>97</v>
      </c>
      <c r="H32" s="2" t="s">
        <v>17</v>
      </c>
      <c r="I32" s="2" t="s">
        <v>18</v>
      </c>
      <c r="J32" s="3" t="s">
        <v>174</v>
      </c>
    </row>
    <row r="33" customFormat="false" ht="15" hidden="false" customHeight="false" outlineLevel="0" collapsed="false">
      <c r="A33" s="2" t="s">
        <v>175</v>
      </c>
      <c r="B33" s="2" t="s">
        <v>144</v>
      </c>
      <c r="C33" s="2" t="s">
        <v>173</v>
      </c>
      <c r="D33" s="2" t="s">
        <v>129</v>
      </c>
      <c r="E33" s="2" t="s">
        <v>125</v>
      </c>
      <c r="F33" s="2" t="s">
        <v>15</v>
      </c>
      <c r="G33" s="2" t="s">
        <v>76</v>
      </c>
      <c r="H33" s="2" t="s">
        <v>146</v>
      </c>
      <c r="I33" s="2" t="s">
        <v>65</v>
      </c>
      <c r="J33" s="3" t="s">
        <v>66</v>
      </c>
    </row>
    <row r="34" customFormat="false" ht="15" hidden="false" customHeight="false" outlineLevel="0" collapsed="false">
      <c r="A34" s="2" t="s">
        <v>176</v>
      </c>
      <c r="B34" s="2" t="s">
        <v>177</v>
      </c>
      <c r="C34" s="2" t="s">
        <v>173</v>
      </c>
      <c r="D34" s="2" t="s">
        <v>129</v>
      </c>
      <c r="E34" s="2" t="s">
        <v>125</v>
      </c>
      <c r="F34" s="2" t="s">
        <v>15</v>
      </c>
      <c r="G34" s="2" t="s">
        <v>97</v>
      </c>
      <c r="H34" s="2" t="s">
        <v>42</v>
      </c>
      <c r="I34" s="2" t="s">
        <v>26</v>
      </c>
      <c r="J34" s="3" t="s">
        <v>178</v>
      </c>
    </row>
    <row r="35" customFormat="false" ht="15" hidden="false" customHeight="false" outlineLevel="0" collapsed="false">
      <c r="A35" s="2" t="s">
        <v>179</v>
      </c>
      <c r="B35" s="2" t="s">
        <v>180</v>
      </c>
      <c r="C35" s="2" t="s">
        <v>181</v>
      </c>
      <c r="D35" s="2" t="s">
        <v>129</v>
      </c>
      <c r="E35" s="2" t="s">
        <v>125</v>
      </c>
      <c r="F35" s="2" t="s">
        <v>15</v>
      </c>
      <c r="G35" s="2" t="s">
        <v>182</v>
      </c>
      <c r="H35" s="2" t="s">
        <v>42</v>
      </c>
      <c r="I35" s="2" t="s">
        <v>26</v>
      </c>
      <c r="J35" s="3" t="s">
        <v>183</v>
      </c>
    </row>
    <row r="36" customFormat="false" ht="23.85" hidden="false" customHeight="false" outlineLevel="0" collapsed="false">
      <c r="A36" s="2" t="s">
        <v>184</v>
      </c>
      <c r="B36" s="2" t="s">
        <v>185</v>
      </c>
      <c r="C36" s="2" t="s">
        <v>186</v>
      </c>
      <c r="D36" s="2" t="s">
        <v>129</v>
      </c>
      <c r="E36" s="2" t="s">
        <v>125</v>
      </c>
      <c r="F36" s="2" t="s">
        <v>15</v>
      </c>
      <c r="G36" s="2" t="s">
        <v>187</v>
      </c>
      <c r="H36" s="2" t="s">
        <v>17</v>
      </c>
      <c r="I36" s="2" t="s">
        <v>18</v>
      </c>
      <c r="J36" s="3" t="s">
        <v>188</v>
      </c>
    </row>
    <row r="37" customFormat="false" ht="15" hidden="false" customHeight="false" outlineLevel="0" collapsed="false">
      <c r="A37" s="2" t="s">
        <v>189</v>
      </c>
      <c r="B37" s="2" t="s">
        <v>190</v>
      </c>
      <c r="C37" s="2" t="s">
        <v>191</v>
      </c>
      <c r="D37" s="2" t="s">
        <v>129</v>
      </c>
      <c r="E37" s="2" t="s">
        <v>125</v>
      </c>
      <c r="F37" s="2" t="s">
        <v>152</v>
      </c>
      <c r="G37" s="2" t="s">
        <v>192</v>
      </c>
      <c r="H37" s="2" t="s">
        <v>34</v>
      </c>
      <c r="I37" s="2" t="s">
        <v>26</v>
      </c>
      <c r="J37" s="3" t="s">
        <v>193</v>
      </c>
    </row>
    <row r="38" customFormat="false" ht="15" hidden="false" customHeight="false" outlineLevel="0" collapsed="false">
      <c r="A38" s="2" t="s">
        <v>194</v>
      </c>
      <c r="B38" s="2" t="s">
        <v>195</v>
      </c>
      <c r="C38" s="2" t="s">
        <v>196</v>
      </c>
      <c r="D38" s="2" t="s">
        <v>129</v>
      </c>
      <c r="E38" s="2" t="s">
        <v>125</v>
      </c>
      <c r="F38" s="2" t="s">
        <v>15</v>
      </c>
      <c r="G38" s="2" t="s">
        <v>63</v>
      </c>
      <c r="H38" s="2" t="s">
        <v>197</v>
      </c>
      <c r="I38" s="2" t="s">
        <v>65</v>
      </c>
      <c r="J38" s="3" t="s">
        <v>198</v>
      </c>
    </row>
    <row r="39" customFormat="false" ht="15" hidden="false" customHeight="false" outlineLevel="0" collapsed="false">
      <c r="A39" s="2" t="s">
        <v>199</v>
      </c>
      <c r="B39" s="2" t="s">
        <v>200</v>
      </c>
      <c r="C39" s="2" t="s">
        <v>173</v>
      </c>
      <c r="D39" s="2" t="s">
        <v>129</v>
      </c>
      <c r="E39" s="2" t="s">
        <v>125</v>
      </c>
      <c r="F39" s="2" t="s">
        <v>15</v>
      </c>
      <c r="G39" s="2" t="s">
        <v>201</v>
      </c>
      <c r="H39" s="2" t="s">
        <v>34</v>
      </c>
      <c r="I39" s="2" t="s">
        <v>26</v>
      </c>
      <c r="J39" s="3" t="s">
        <v>202</v>
      </c>
    </row>
    <row r="40" customFormat="false" ht="23.85" hidden="false" customHeight="false" outlineLevel="0" collapsed="false">
      <c r="A40" s="2" t="s">
        <v>203</v>
      </c>
      <c r="B40" s="2" t="s">
        <v>204</v>
      </c>
      <c r="C40" s="2" t="s">
        <v>205</v>
      </c>
      <c r="D40" s="2" t="s">
        <v>129</v>
      </c>
      <c r="E40" s="2" t="s">
        <v>125</v>
      </c>
      <c r="F40" s="2" t="s">
        <v>15</v>
      </c>
      <c r="G40" s="2" t="s">
        <v>206</v>
      </c>
      <c r="H40" s="2" t="s">
        <v>17</v>
      </c>
      <c r="I40" s="2" t="s">
        <v>18</v>
      </c>
      <c r="J40" s="3" t="s">
        <v>207</v>
      </c>
    </row>
    <row r="41" customFormat="false" ht="23.85" hidden="false" customHeight="false" outlineLevel="0" collapsed="false">
      <c r="A41" s="2" t="s">
        <v>208</v>
      </c>
      <c r="B41" s="2" t="s">
        <v>209</v>
      </c>
      <c r="C41" s="2" t="s">
        <v>210</v>
      </c>
      <c r="D41" s="2" t="s">
        <v>129</v>
      </c>
      <c r="E41" s="2" t="s">
        <v>125</v>
      </c>
      <c r="F41" s="2" t="s">
        <v>15</v>
      </c>
      <c r="G41" s="2" t="s">
        <v>76</v>
      </c>
      <c r="H41" s="2" t="s">
        <v>17</v>
      </c>
      <c r="I41" s="2" t="s">
        <v>18</v>
      </c>
      <c r="J41" s="3" t="s">
        <v>66</v>
      </c>
    </row>
    <row r="42" customFormat="false" ht="15" hidden="false" customHeight="false" outlineLevel="0" collapsed="false">
      <c r="A42" s="2" t="s">
        <v>211</v>
      </c>
      <c r="B42" s="2" t="s">
        <v>212</v>
      </c>
      <c r="C42" s="2" t="s">
        <v>205</v>
      </c>
      <c r="D42" s="2" t="s">
        <v>129</v>
      </c>
      <c r="E42" s="2" t="s">
        <v>125</v>
      </c>
      <c r="F42" s="2" t="s">
        <v>15</v>
      </c>
      <c r="G42" s="2" t="s">
        <v>76</v>
      </c>
      <c r="H42" s="2" t="s">
        <v>213</v>
      </c>
      <c r="I42" s="2" t="s">
        <v>65</v>
      </c>
      <c r="J42" s="3" t="s">
        <v>138</v>
      </c>
    </row>
    <row r="43" customFormat="false" ht="15" hidden="false" customHeight="false" outlineLevel="0" collapsed="false">
      <c r="A43" s="2" t="s">
        <v>214</v>
      </c>
      <c r="B43" s="2" t="s">
        <v>215</v>
      </c>
      <c r="C43" s="2" t="s">
        <v>216</v>
      </c>
      <c r="D43" s="2" t="s">
        <v>129</v>
      </c>
      <c r="E43" s="2" t="s">
        <v>125</v>
      </c>
      <c r="F43" s="2" t="s">
        <v>152</v>
      </c>
      <c r="G43" s="2" t="s">
        <v>217</v>
      </c>
      <c r="H43" s="2" t="s">
        <v>34</v>
      </c>
      <c r="I43" s="2" t="s">
        <v>26</v>
      </c>
      <c r="J43" s="3" t="s">
        <v>218</v>
      </c>
    </row>
    <row r="44" customFormat="false" ht="15" hidden="false" customHeight="false" outlineLevel="0" collapsed="false">
      <c r="A44" s="2" t="s">
        <v>219</v>
      </c>
      <c r="B44" s="2" t="s">
        <v>220</v>
      </c>
      <c r="C44" s="2" t="s">
        <v>221</v>
      </c>
      <c r="D44" s="2" t="s">
        <v>129</v>
      </c>
      <c r="E44" s="2" t="s">
        <v>125</v>
      </c>
      <c r="F44" s="2" t="s">
        <v>152</v>
      </c>
      <c r="G44" s="2" t="s">
        <v>222</v>
      </c>
      <c r="H44" s="2" t="s">
        <v>17</v>
      </c>
      <c r="I44" s="2" t="s">
        <v>26</v>
      </c>
      <c r="J44" s="3" t="s">
        <v>223</v>
      </c>
    </row>
    <row r="45" customFormat="false" ht="15" hidden="false" customHeight="false" outlineLevel="0" collapsed="false">
      <c r="A45" s="2" t="s">
        <v>224</v>
      </c>
      <c r="B45" s="2" t="s">
        <v>225</v>
      </c>
      <c r="C45" s="2" t="s">
        <v>221</v>
      </c>
      <c r="D45" s="2" t="s">
        <v>129</v>
      </c>
      <c r="E45" s="2" t="s">
        <v>125</v>
      </c>
      <c r="F45" s="2" t="s">
        <v>152</v>
      </c>
      <c r="G45" s="2" t="s">
        <v>226</v>
      </c>
      <c r="H45" s="2" t="s">
        <v>17</v>
      </c>
      <c r="I45" s="2" t="s">
        <v>26</v>
      </c>
      <c r="J45" s="3" t="s">
        <v>227</v>
      </c>
    </row>
    <row r="46" customFormat="false" ht="23.85" hidden="false" customHeight="false" outlineLevel="0" collapsed="false">
      <c r="A46" s="2" t="s">
        <v>228</v>
      </c>
      <c r="B46" s="2" t="s">
        <v>229</v>
      </c>
      <c r="C46" s="2" t="s">
        <v>230</v>
      </c>
      <c r="D46" s="2" t="s">
        <v>231</v>
      </c>
      <c r="E46" s="2" t="s">
        <v>232</v>
      </c>
      <c r="F46" s="2" t="s">
        <v>15</v>
      </c>
      <c r="G46" s="2" t="s">
        <v>233</v>
      </c>
      <c r="H46" s="2" t="s">
        <v>42</v>
      </c>
      <c r="I46" s="2" t="s">
        <v>18</v>
      </c>
      <c r="J46" s="3" t="s">
        <v>234</v>
      </c>
    </row>
    <row r="47" customFormat="false" ht="23.85" hidden="false" customHeight="false" outlineLevel="0" collapsed="false">
      <c r="A47" s="2" t="s">
        <v>235</v>
      </c>
      <c r="B47" s="2" t="s">
        <v>236</v>
      </c>
      <c r="C47" s="2" t="s">
        <v>230</v>
      </c>
      <c r="D47" s="2" t="s">
        <v>231</v>
      </c>
      <c r="E47" s="2" t="s">
        <v>232</v>
      </c>
      <c r="F47" s="2" t="s">
        <v>15</v>
      </c>
      <c r="G47" s="2" t="s">
        <v>237</v>
      </c>
      <c r="H47" s="2" t="s">
        <v>17</v>
      </c>
      <c r="I47" s="2" t="s">
        <v>18</v>
      </c>
      <c r="J47" s="3" t="s">
        <v>238</v>
      </c>
    </row>
    <row r="48" customFormat="false" ht="15" hidden="false" customHeight="false" outlineLevel="0" collapsed="false">
      <c r="A48" s="2" t="s">
        <v>239</v>
      </c>
      <c r="B48" s="2" t="s">
        <v>240</v>
      </c>
      <c r="C48" s="2" t="s">
        <v>231</v>
      </c>
      <c r="D48" s="2" t="s">
        <v>231</v>
      </c>
      <c r="E48" s="2" t="s">
        <v>232</v>
      </c>
      <c r="F48" s="2" t="s">
        <v>241</v>
      </c>
      <c r="G48" s="2" t="s">
        <v>242</v>
      </c>
      <c r="H48" s="2" t="s">
        <v>34</v>
      </c>
      <c r="I48" s="2" t="s">
        <v>26</v>
      </c>
      <c r="J48" s="3" t="s">
        <v>243</v>
      </c>
    </row>
    <row r="49" customFormat="false" ht="15" hidden="false" customHeight="false" outlineLevel="0" collapsed="false">
      <c r="A49" s="2" t="s">
        <v>244</v>
      </c>
      <c r="B49" s="2" t="s">
        <v>245</v>
      </c>
      <c r="C49" s="2" t="s">
        <v>246</v>
      </c>
      <c r="D49" s="2" t="s">
        <v>247</v>
      </c>
      <c r="E49" s="2" t="s">
        <v>232</v>
      </c>
      <c r="F49" s="2" t="s">
        <v>152</v>
      </c>
      <c r="G49" s="2" t="s">
        <v>97</v>
      </c>
      <c r="H49" s="2" t="s">
        <v>42</v>
      </c>
      <c r="I49" s="2" t="s">
        <v>26</v>
      </c>
      <c r="J49" s="3" t="s">
        <v>248</v>
      </c>
    </row>
    <row r="50" customFormat="false" ht="23.85" hidden="false" customHeight="false" outlineLevel="0" collapsed="false">
      <c r="A50" s="2" t="s">
        <v>249</v>
      </c>
      <c r="B50" s="2" t="s">
        <v>250</v>
      </c>
      <c r="C50" s="2" t="s">
        <v>251</v>
      </c>
      <c r="D50" s="2" t="s">
        <v>247</v>
      </c>
      <c r="E50" s="2" t="s">
        <v>232</v>
      </c>
      <c r="F50" s="2" t="s">
        <v>15</v>
      </c>
      <c r="G50" s="2" t="s">
        <v>131</v>
      </c>
      <c r="H50" s="2" t="s">
        <v>17</v>
      </c>
      <c r="I50" s="2" t="s">
        <v>18</v>
      </c>
      <c r="J50" s="3" t="s">
        <v>252</v>
      </c>
    </row>
    <row r="51" customFormat="false" ht="15" hidden="false" customHeight="false" outlineLevel="0" collapsed="false">
      <c r="A51" s="2" t="s">
        <v>253</v>
      </c>
      <c r="B51" s="2" t="s">
        <v>254</v>
      </c>
      <c r="C51" s="2" t="s">
        <v>255</v>
      </c>
      <c r="D51" s="2" t="s">
        <v>247</v>
      </c>
      <c r="E51" s="2" t="s">
        <v>232</v>
      </c>
      <c r="F51" s="2" t="s">
        <v>256</v>
      </c>
      <c r="G51" s="2" t="s">
        <v>257</v>
      </c>
      <c r="H51" s="2" t="s">
        <v>42</v>
      </c>
      <c r="I51" s="2" t="s">
        <v>26</v>
      </c>
      <c r="J51" s="3" t="s">
        <v>258</v>
      </c>
    </row>
    <row r="52" customFormat="false" ht="15" hidden="false" customHeight="false" outlineLevel="0" collapsed="false">
      <c r="A52" s="2" t="s">
        <v>259</v>
      </c>
      <c r="B52" s="2" t="s">
        <v>260</v>
      </c>
      <c r="C52" s="2" t="s">
        <v>246</v>
      </c>
      <c r="D52" s="2" t="s">
        <v>247</v>
      </c>
      <c r="E52" s="2" t="s">
        <v>232</v>
      </c>
      <c r="F52" s="2" t="s">
        <v>261</v>
      </c>
      <c r="G52" s="2" t="s">
        <v>262</v>
      </c>
      <c r="H52" s="2" t="s">
        <v>25</v>
      </c>
      <c r="I52" s="2" t="s">
        <v>26</v>
      </c>
      <c r="J52" s="3" t="s">
        <v>263</v>
      </c>
    </row>
    <row r="53" customFormat="false" ht="23.85" hidden="false" customHeight="false" outlineLevel="0" collapsed="false">
      <c r="A53" s="2" t="s">
        <v>264</v>
      </c>
      <c r="B53" s="2" t="s">
        <v>265</v>
      </c>
      <c r="C53" s="2" t="s">
        <v>266</v>
      </c>
      <c r="D53" s="2" t="s">
        <v>247</v>
      </c>
      <c r="E53" s="2" t="s">
        <v>232</v>
      </c>
      <c r="F53" s="2" t="s">
        <v>267</v>
      </c>
      <c r="G53" s="2" t="s">
        <v>268</v>
      </c>
      <c r="H53" s="2" t="s">
        <v>269</v>
      </c>
      <c r="I53" s="2" t="s">
        <v>26</v>
      </c>
      <c r="J53" s="3" t="s">
        <v>270</v>
      </c>
    </row>
    <row r="54" customFormat="false" ht="23.85" hidden="false" customHeight="false" outlineLevel="0" collapsed="false">
      <c r="A54" s="2" t="s">
        <v>271</v>
      </c>
      <c r="B54" s="2" t="s">
        <v>272</v>
      </c>
      <c r="C54" s="2" t="s">
        <v>273</v>
      </c>
      <c r="D54" s="2" t="s">
        <v>247</v>
      </c>
      <c r="E54" s="2" t="s">
        <v>232</v>
      </c>
      <c r="F54" s="2" t="s">
        <v>241</v>
      </c>
      <c r="G54" s="2" t="s">
        <v>274</v>
      </c>
      <c r="H54" s="2" t="s">
        <v>25</v>
      </c>
      <c r="I54" s="2" t="s">
        <v>26</v>
      </c>
      <c r="J54" s="3" t="s">
        <v>263</v>
      </c>
    </row>
    <row r="55" customFormat="false" ht="15" hidden="false" customHeight="false" outlineLevel="0" collapsed="false">
      <c r="A55" s="2" t="s">
        <v>275</v>
      </c>
      <c r="B55" s="2" t="s">
        <v>265</v>
      </c>
      <c r="C55" s="2" t="s">
        <v>276</v>
      </c>
      <c r="D55" s="2" t="s">
        <v>247</v>
      </c>
      <c r="E55" s="2" t="s">
        <v>232</v>
      </c>
      <c r="F55" s="2" t="s">
        <v>241</v>
      </c>
      <c r="G55" s="2" t="s">
        <v>268</v>
      </c>
      <c r="H55" s="2" t="s">
        <v>269</v>
      </c>
      <c r="I55" s="2" t="s">
        <v>26</v>
      </c>
      <c r="J55" s="3" t="s">
        <v>277</v>
      </c>
    </row>
    <row r="56" customFormat="false" ht="23.85" hidden="false" customHeight="false" outlineLevel="0" collapsed="false">
      <c r="A56" s="2" t="s">
        <v>278</v>
      </c>
      <c r="B56" s="2" t="s">
        <v>279</v>
      </c>
      <c r="C56" s="2" t="s">
        <v>251</v>
      </c>
      <c r="D56" s="2" t="s">
        <v>247</v>
      </c>
      <c r="E56" s="2" t="s">
        <v>232</v>
      </c>
      <c r="F56" s="2" t="s">
        <v>280</v>
      </c>
      <c r="G56" s="2" t="s">
        <v>281</v>
      </c>
      <c r="H56" s="2" t="s">
        <v>34</v>
      </c>
      <c r="I56" s="2" t="s">
        <v>26</v>
      </c>
      <c r="J56" s="3" t="s">
        <v>282</v>
      </c>
    </row>
    <row r="57" customFormat="false" ht="15" hidden="false" customHeight="false" outlineLevel="0" collapsed="false">
      <c r="A57" s="2" t="s">
        <v>283</v>
      </c>
      <c r="B57" s="2" t="s">
        <v>284</v>
      </c>
      <c r="C57" s="2" t="s">
        <v>251</v>
      </c>
      <c r="D57" s="2" t="s">
        <v>247</v>
      </c>
      <c r="E57" s="2" t="s">
        <v>232</v>
      </c>
      <c r="F57" s="2" t="s">
        <v>285</v>
      </c>
      <c r="G57" s="2" t="s">
        <v>286</v>
      </c>
      <c r="H57" s="2" t="s">
        <v>42</v>
      </c>
      <c r="I57" s="2" t="s">
        <v>26</v>
      </c>
      <c r="J57" s="3" t="s">
        <v>287</v>
      </c>
    </row>
    <row r="58" customFormat="false" ht="15" hidden="false" customHeight="false" outlineLevel="0" collapsed="false">
      <c r="A58" s="2" t="s">
        <v>288</v>
      </c>
      <c r="B58" s="2" t="s">
        <v>289</v>
      </c>
      <c r="C58" s="2" t="s">
        <v>251</v>
      </c>
      <c r="D58" s="2" t="s">
        <v>247</v>
      </c>
      <c r="E58" s="2" t="s">
        <v>232</v>
      </c>
      <c r="F58" s="2" t="s">
        <v>290</v>
      </c>
      <c r="G58" s="2" t="s">
        <v>291</v>
      </c>
      <c r="H58" s="2" t="s">
        <v>25</v>
      </c>
      <c r="I58" s="2" t="s">
        <v>26</v>
      </c>
      <c r="J58" s="3" t="s">
        <v>292</v>
      </c>
    </row>
    <row r="59" customFormat="false" ht="15" hidden="false" customHeight="false" outlineLevel="0" collapsed="false">
      <c r="A59" s="2" t="s">
        <v>293</v>
      </c>
      <c r="B59" s="2" t="s">
        <v>265</v>
      </c>
      <c r="C59" s="2" t="s">
        <v>294</v>
      </c>
      <c r="D59" s="2" t="s">
        <v>247</v>
      </c>
      <c r="E59" s="2" t="s">
        <v>232</v>
      </c>
      <c r="F59" s="2" t="s">
        <v>241</v>
      </c>
      <c r="G59" s="2" t="s">
        <v>295</v>
      </c>
      <c r="H59" s="2" t="s">
        <v>269</v>
      </c>
      <c r="I59" s="2" t="s">
        <v>26</v>
      </c>
      <c r="J59" s="3" t="s">
        <v>277</v>
      </c>
    </row>
    <row r="60" customFormat="false" ht="23.85" hidden="false" customHeight="false" outlineLevel="0" collapsed="false">
      <c r="A60" s="2" t="s">
        <v>296</v>
      </c>
      <c r="B60" s="2" t="s">
        <v>297</v>
      </c>
      <c r="C60" s="2" t="s">
        <v>298</v>
      </c>
      <c r="D60" s="2" t="s">
        <v>247</v>
      </c>
      <c r="E60" s="2" t="s">
        <v>232</v>
      </c>
      <c r="F60" s="2" t="s">
        <v>15</v>
      </c>
      <c r="G60" s="2" t="s">
        <v>97</v>
      </c>
      <c r="H60" s="2" t="s">
        <v>213</v>
      </c>
      <c r="I60" s="2" t="s">
        <v>26</v>
      </c>
      <c r="J60" s="3" t="s">
        <v>299</v>
      </c>
    </row>
    <row r="61" customFormat="false" ht="23.85" hidden="false" customHeight="false" outlineLevel="0" collapsed="false">
      <c r="A61" s="2" t="s">
        <v>300</v>
      </c>
      <c r="B61" s="2" t="s">
        <v>301</v>
      </c>
      <c r="C61" s="2" t="s">
        <v>251</v>
      </c>
      <c r="D61" s="2" t="s">
        <v>247</v>
      </c>
      <c r="E61" s="2" t="s">
        <v>232</v>
      </c>
      <c r="F61" s="2" t="s">
        <v>89</v>
      </c>
      <c r="G61" s="2" t="s">
        <v>302</v>
      </c>
      <c r="H61" s="2" t="s">
        <v>303</v>
      </c>
      <c r="I61" s="2" t="s">
        <v>26</v>
      </c>
      <c r="J61" s="3" t="s">
        <v>304</v>
      </c>
    </row>
    <row r="62" customFormat="false" ht="23.85" hidden="false" customHeight="false" outlineLevel="0" collapsed="false">
      <c r="A62" s="2" t="s">
        <v>305</v>
      </c>
      <c r="B62" s="2" t="s">
        <v>306</v>
      </c>
      <c r="C62" s="2" t="s">
        <v>251</v>
      </c>
      <c r="D62" s="2" t="s">
        <v>247</v>
      </c>
      <c r="E62" s="2" t="s">
        <v>232</v>
      </c>
      <c r="F62" s="2" t="s">
        <v>169</v>
      </c>
      <c r="G62" s="2" t="s">
        <v>97</v>
      </c>
      <c r="H62" s="2" t="s">
        <v>17</v>
      </c>
      <c r="I62" s="2" t="s">
        <v>18</v>
      </c>
      <c r="J62" s="3" t="s">
        <v>307</v>
      </c>
    </row>
    <row r="63" customFormat="false" ht="23.85" hidden="false" customHeight="false" outlineLevel="0" collapsed="false">
      <c r="A63" s="2" t="s">
        <v>308</v>
      </c>
      <c r="B63" s="2" t="s">
        <v>309</v>
      </c>
      <c r="C63" s="2" t="s">
        <v>310</v>
      </c>
      <c r="D63" s="2" t="s">
        <v>247</v>
      </c>
      <c r="E63" s="2" t="s">
        <v>232</v>
      </c>
      <c r="F63" s="2" t="s">
        <v>15</v>
      </c>
      <c r="G63" s="2" t="s">
        <v>311</v>
      </c>
      <c r="H63" s="2" t="s">
        <v>312</v>
      </c>
      <c r="I63" s="2" t="s">
        <v>26</v>
      </c>
      <c r="J63" s="3" t="s">
        <v>313</v>
      </c>
    </row>
    <row r="64" customFormat="false" ht="15" hidden="false" customHeight="false" outlineLevel="0" collapsed="false">
      <c r="A64" s="2" t="s">
        <v>314</v>
      </c>
      <c r="B64" s="2" t="s">
        <v>315</v>
      </c>
      <c r="C64" s="2" t="s">
        <v>316</v>
      </c>
      <c r="D64" s="2" t="s">
        <v>247</v>
      </c>
      <c r="E64" s="2" t="s">
        <v>232</v>
      </c>
      <c r="F64" s="2" t="s">
        <v>241</v>
      </c>
      <c r="G64" s="2" t="s">
        <v>97</v>
      </c>
      <c r="H64" s="2" t="s">
        <v>269</v>
      </c>
      <c r="I64" s="2" t="s">
        <v>26</v>
      </c>
      <c r="J64" s="3" t="s">
        <v>317</v>
      </c>
    </row>
    <row r="65" customFormat="false" ht="23.85" hidden="false" customHeight="false" outlineLevel="0" collapsed="false">
      <c r="A65" s="2" t="s">
        <v>318</v>
      </c>
      <c r="B65" s="2" t="s">
        <v>319</v>
      </c>
      <c r="C65" s="2" t="s">
        <v>320</v>
      </c>
      <c r="D65" s="2" t="s">
        <v>247</v>
      </c>
      <c r="E65" s="2" t="s">
        <v>232</v>
      </c>
      <c r="F65" s="2" t="s">
        <v>321</v>
      </c>
      <c r="G65" s="2" t="s">
        <v>322</v>
      </c>
      <c r="H65" s="2" t="s">
        <v>42</v>
      </c>
      <c r="I65" s="2" t="s">
        <v>26</v>
      </c>
      <c r="J65" s="3" t="s">
        <v>323</v>
      </c>
    </row>
    <row r="66" customFormat="false" ht="15" hidden="false" customHeight="false" outlineLevel="0" collapsed="false">
      <c r="A66" s="2" t="s">
        <v>324</v>
      </c>
      <c r="B66" s="2" t="s">
        <v>325</v>
      </c>
      <c r="C66" s="2" t="s">
        <v>251</v>
      </c>
      <c r="D66" s="2" t="s">
        <v>247</v>
      </c>
      <c r="E66" s="2" t="s">
        <v>232</v>
      </c>
      <c r="F66" s="2" t="s">
        <v>15</v>
      </c>
      <c r="G66" s="2" t="s">
        <v>326</v>
      </c>
      <c r="H66" s="2" t="s">
        <v>83</v>
      </c>
      <c r="I66" s="2" t="s">
        <v>65</v>
      </c>
      <c r="J66" s="3" t="s">
        <v>93</v>
      </c>
    </row>
    <row r="67" customFormat="false" ht="23.85" hidden="false" customHeight="false" outlineLevel="0" collapsed="false">
      <c r="A67" s="2" t="s">
        <v>327</v>
      </c>
      <c r="B67" s="2" t="s">
        <v>328</v>
      </c>
      <c r="C67" s="2" t="s">
        <v>251</v>
      </c>
      <c r="D67" s="2" t="s">
        <v>247</v>
      </c>
      <c r="E67" s="2" t="s">
        <v>232</v>
      </c>
      <c r="F67" s="2" t="s">
        <v>329</v>
      </c>
      <c r="G67" s="2" t="s">
        <v>330</v>
      </c>
      <c r="H67" s="2" t="s">
        <v>42</v>
      </c>
      <c r="I67" s="2" t="s">
        <v>18</v>
      </c>
      <c r="J67" s="3" t="s">
        <v>331</v>
      </c>
    </row>
    <row r="68" customFormat="false" ht="23.85" hidden="false" customHeight="false" outlineLevel="0" collapsed="false">
      <c r="A68" s="2" t="s">
        <v>332</v>
      </c>
      <c r="B68" s="2" t="s">
        <v>333</v>
      </c>
      <c r="C68" s="2" t="s">
        <v>251</v>
      </c>
      <c r="D68" s="2" t="s">
        <v>247</v>
      </c>
      <c r="E68" s="2" t="s">
        <v>232</v>
      </c>
      <c r="F68" s="2" t="s">
        <v>15</v>
      </c>
      <c r="G68" s="2" t="s">
        <v>334</v>
      </c>
      <c r="H68" s="2" t="s">
        <v>83</v>
      </c>
      <c r="I68" s="2" t="s">
        <v>18</v>
      </c>
      <c r="J68" s="3" t="s">
        <v>335</v>
      </c>
    </row>
    <row r="69" customFormat="false" ht="15" hidden="false" customHeight="false" outlineLevel="0" collapsed="false">
      <c r="A69" s="2" t="s">
        <v>336</v>
      </c>
      <c r="B69" s="2" t="s">
        <v>337</v>
      </c>
      <c r="C69" s="2" t="s">
        <v>338</v>
      </c>
      <c r="D69" s="2" t="s">
        <v>247</v>
      </c>
      <c r="E69" s="2" t="s">
        <v>232</v>
      </c>
      <c r="F69" s="2" t="s">
        <v>339</v>
      </c>
      <c r="G69" s="2" t="s">
        <v>340</v>
      </c>
      <c r="H69" s="2" t="s">
        <v>303</v>
      </c>
      <c r="I69" s="2" t="s">
        <v>26</v>
      </c>
      <c r="J69" s="3" t="s">
        <v>341</v>
      </c>
    </row>
    <row r="70" customFormat="false" ht="23.85" hidden="false" customHeight="false" outlineLevel="0" collapsed="false">
      <c r="A70" s="2" t="s">
        <v>342</v>
      </c>
      <c r="B70" s="2" t="s">
        <v>343</v>
      </c>
      <c r="C70" s="2" t="s">
        <v>251</v>
      </c>
      <c r="D70" s="2" t="s">
        <v>247</v>
      </c>
      <c r="E70" s="2" t="s">
        <v>232</v>
      </c>
      <c r="F70" s="2" t="s">
        <v>321</v>
      </c>
      <c r="G70" s="2" t="s">
        <v>344</v>
      </c>
      <c r="H70" s="2" t="s">
        <v>42</v>
      </c>
      <c r="I70" s="2" t="s">
        <v>26</v>
      </c>
      <c r="J70" s="3" t="s">
        <v>345</v>
      </c>
    </row>
    <row r="71" customFormat="false" ht="15" hidden="false" customHeight="false" outlineLevel="0" collapsed="false">
      <c r="A71" s="2" t="s">
        <v>346</v>
      </c>
      <c r="B71" s="2" t="s">
        <v>347</v>
      </c>
      <c r="C71" s="2" t="s">
        <v>348</v>
      </c>
      <c r="D71" s="2" t="s">
        <v>247</v>
      </c>
      <c r="E71" s="2" t="s">
        <v>232</v>
      </c>
      <c r="F71" s="2" t="s">
        <v>152</v>
      </c>
      <c r="G71" s="2" t="s">
        <v>349</v>
      </c>
      <c r="H71" s="2" t="s">
        <v>269</v>
      </c>
      <c r="I71" s="2" t="s">
        <v>26</v>
      </c>
      <c r="J71" s="3" t="s">
        <v>350</v>
      </c>
    </row>
    <row r="72" customFormat="false" ht="15" hidden="false" customHeight="false" outlineLevel="0" collapsed="false">
      <c r="A72" s="2" t="s">
        <v>351</v>
      </c>
      <c r="B72" s="2" t="s">
        <v>352</v>
      </c>
      <c r="C72" s="2" t="s">
        <v>251</v>
      </c>
      <c r="D72" s="2" t="s">
        <v>247</v>
      </c>
      <c r="E72" s="2" t="s">
        <v>232</v>
      </c>
      <c r="F72" s="2" t="s">
        <v>353</v>
      </c>
      <c r="G72" s="2" t="s">
        <v>354</v>
      </c>
      <c r="H72" s="2" t="s">
        <v>34</v>
      </c>
      <c r="I72" s="2" t="s">
        <v>26</v>
      </c>
      <c r="J72" s="3" t="s">
        <v>165</v>
      </c>
    </row>
    <row r="73" customFormat="false" ht="23.85" hidden="false" customHeight="false" outlineLevel="0" collapsed="false">
      <c r="A73" s="2" t="s">
        <v>355</v>
      </c>
      <c r="B73" s="2" t="s">
        <v>356</v>
      </c>
      <c r="C73" s="2" t="s">
        <v>251</v>
      </c>
      <c r="D73" s="2" t="s">
        <v>247</v>
      </c>
      <c r="E73" s="2" t="s">
        <v>232</v>
      </c>
      <c r="F73" s="2" t="s">
        <v>357</v>
      </c>
      <c r="G73" s="2" t="s">
        <v>131</v>
      </c>
      <c r="H73" s="2" t="s">
        <v>17</v>
      </c>
      <c r="I73" s="2" t="s">
        <v>18</v>
      </c>
      <c r="J73" s="3" t="s">
        <v>252</v>
      </c>
    </row>
    <row r="74" customFormat="false" ht="15" hidden="false" customHeight="false" outlineLevel="0" collapsed="false">
      <c r="A74" s="2" t="s">
        <v>358</v>
      </c>
      <c r="B74" s="2" t="s">
        <v>359</v>
      </c>
      <c r="C74" s="2" t="s">
        <v>360</v>
      </c>
      <c r="D74" s="2" t="s">
        <v>247</v>
      </c>
      <c r="E74" s="2" t="s">
        <v>232</v>
      </c>
      <c r="F74" s="2" t="s">
        <v>241</v>
      </c>
      <c r="G74" s="2" t="s">
        <v>268</v>
      </c>
      <c r="H74" s="2" t="s">
        <v>42</v>
      </c>
      <c r="I74" s="2" t="s">
        <v>26</v>
      </c>
      <c r="J74" s="3" t="s">
        <v>361</v>
      </c>
    </row>
    <row r="75" customFormat="false" ht="15" hidden="false" customHeight="false" outlineLevel="0" collapsed="false">
      <c r="A75" s="2" t="s">
        <v>362</v>
      </c>
      <c r="B75" s="2" t="s">
        <v>265</v>
      </c>
      <c r="C75" s="2" t="s">
        <v>363</v>
      </c>
      <c r="D75" s="2" t="s">
        <v>247</v>
      </c>
      <c r="E75" s="2" t="s">
        <v>232</v>
      </c>
      <c r="F75" s="2" t="s">
        <v>241</v>
      </c>
      <c r="G75" s="2" t="s">
        <v>268</v>
      </c>
      <c r="H75" s="2" t="s">
        <v>269</v>
      </c>
      <c r="I75" s="2" t="s">
        <v>26</v>
      </c>
      <c r="J75" s="3" t="s">
        <v>277</v>
      </c>
    </row>
    <row r="76" customFormat="false" ht="23.85" hidden="false" customHeight="false" outlineLevel="0" collapsed="false">
      <c r="A76" s="2" t="s">
        <v>364</v>
      </c>
      <c r="B76" s="2" t="s">
        <v>365</v>
      </c>
      <c r="C76" s="2" t="s">
        <v>251</v>
      </c>
      <c r="D76" s="2" t="s">
        <v>247</v>
      </c>
      <c r="E76" s="2" t="s">
        <v>232</v>
      </c>
      <c r="F76" s="2" t="s">
        <v>15</v>
      </c>
      <c r="G76" s="2" t="s">
        <v>131</v>
      </c>
      <c r="H76" s="2" t="s">
        <v>17</v>
      </c>
      <c r="I76" s="2" t="s">
        <v>18</v>
      </c>
      <c r="J76" s="3" t="s">
        <v>366</v>
      </c>
    </row>
    <row r="77" customFormat="false" ht="15" hidden="false" customHeight="false" outlineLevel="0" collapsed="false">
      <c r="A77" s="2" t="s">
        <v>367</v>
      </c>
      <c r="B77" s="2" t="s">
        <v>359</v>
      </c>
      <c r="C77" s="2" t="s">
        <v>368</v>
      </c>
      <c r="D77" s="2" t="s">
        <v>247</v>
      </c>
      <c r="E77" s="2" t="s">
        <v>232</v>
      </c>
      <c r="F77" s="2" t="s">
        <v>369</v>
      </c>
      <c r="G77" s="2" t="s">
        <v>268</v>
      </c>
      <c r="H77" s="2" t="s">
        <v>42</v>
      </c>
      <c r="I77" s="2" t="s">
        <v>26</v>
      </c>
      <c r="J77" s="3" t="s">
        <v>361</v>
      </c>
    </row>
    <row r="78" customFormat="false" ht="23.85" hidden="false" customHeight="false" outlineLevel="0" collapsed="false">
      <c r="A78" s="2" t="s">
        <v>370</v>
      </c>
      <c r="B78" s="2" t="s">
        <v>371</v>
      </c>
      <c r="C78" s="2" t="s">
        <v>372</v>
      </c>
      <c r="D78" s="2" t="s">
        <v>247</v>
      </c>
      <c r="E78" s="2" t="s">
        <v>232</v>
      </c>
      <c r="F78" s="2" t="s">
        <v>15</v>
      </c>
      <c r="G78" s="2" t="s">
        <v>131</v>
      </c>
      <c r="H78" s="2" t="s">
        <v>17</v>
      </c>
      <c r="I78" s="2" t="s">
        <v>18</v>
      </c>
      <c r="J78" s="3" t="s">
        <v>373</v>
      </c>
    </row>
    <row r="79" customFormat="false" ht="15" hidden="false" customHeight="false" outlineLevel="0" collapsed="false">
      <c r="A79" s="2" t="s">
        <v>374</v>
      </c>
      <c r="B79" s="2" t="s">
        <v>375</v>
      </c>
      <c r="C79" s="2" t="s">
        <v>251</v>
      </c>
      <c r="D79" s="2" t="s">
        <v>247</v>
      </c>
      <c r="E79" s="2" t="s">
        <v>232</v>
      </c>
      <c r="F79" s="2" t="s">
        <v>261</v>
      </c>
      <c r="G79" s="2" t="s">
        <v>376</v>
      </c>
      <c r="H79" s="2" t="s">
        <v>137</v>
      </c>
      <c r="I79" s="2" t="s">
        <v>65</v>
      </c>
      <c r="J79" s="3" t="s">
        <v>142</v>
      </c>
    </row>
    <row r="80" customFormat="false" ht="23.85" hidden="false" customHeight="false" outlineLevel="0" collapsed="false">
      <c r="A80" s="2" t="s">
        <v>377</v>
      </c>
      <c r="B80" s="2" t="s">
        <v>378</v>
      </c>
      <c r="C80" s="2" t="s">
        <v>251</v>
      </c>
      <c r="D80" s="2" t="s">
        <v>247</v>
      </c>
      <c r="E80" s="2" t="s">
        <v>232</v>
      </c>
      <c r="F80" s="2" t="s">
        <v>241</v>
      </c>
      <c r="G80" s="2" t="s">
        <v>379</v>
      </c>
      <c r="H80" s="2" t="s">
        <v>17</v>
      </c>
      <c r="I80" s="2" t="s">
        <v>18</v>
      </c>
      <c r="J80" s="3" t="s">
        <v>380</v>
      </c>
    </row>
    <row r="81" customFormat="false" ht="15" hidden="false" customHeight="false" outlineLevel="0" collapsed="false">
      <c r="A81" s="2" t="s">
        <v>381</v>
      </c>
      <c r="B81" s="2" t="s">
        <v>265</v>
      </c>
      <c r="C81" s="2" t="s">
        <v>382</v>
      </c>
      <c r="D81" s="2" t="s">
        <v>247</v>
      </c>
      <c r="E81" s="2" t="s">
        <v>232</v>
      </c>
      <c r="F81" s="2" t="s">
        <v>383</v>
      </c>
      <c r="G81" s="2" t="s">
        <v>268</v>
      </c>
      <c r="H81" s="2" t="s">
        <v>269</v>
      </c>
      <c r="I81" s="2" t="s">
        <v>26</v>
      </c>
      <c r="J81" s="3" t="s">
        <v>277</v>
      </c>
    </row>
    <row r="82" customFormat="false" ht="15" hidden="false" customHeight="false" outlineLevel="0" collapsed="false">
      <c r="A82" s="2" t="s">
        <v>384</v>
      </c>
      <c r="B82" s="2" t="s">
        <v>385</v>
      </c>
      <c r="C82" s="2" t="s">
        <v>247</v>
      </c>
      <c r="D82" s="2" t="s">
        <v>247</v>
      </c>
      <c r="E82" s="2" t="s">
        <v>232</v>
      </c>
      <c r="F82" s="2" t="s">
        <v>386</v>
      </c>
      <c r="G82" s="2" t="s">
        <v>63</v>
      </c>
      <c r="H82" s="2" t="s">
        <v>137</v>
      </c>
      <c r="I82" s="2" t="s">
        <v>65</v>
      </c>
      <c r="J82" s="3" t="s">
        <v>165</v>
      </c>
    </row>
    <row r="83" customFormat="false" ht="15" hidden="false" customHeight="false" outlineLevel="0" collapsed="false">
      <c r="A83" s="2" t="s">
        <v>387</v>
      </c>
      <c r="B83" s="2" t="s">
        <v>388</v>
      </c>
      <c r="C83" s="2" t="s">
        <v>389</v>
      </c>
      <c r="D83" s="2" t="s">
        <v>247</v>
      </c>
      <c r="E83" s="2" t="s">
        <v>232</v>
      </c>
      <c r="F83" s="2" t="s">
        <v>390</v>
      </c>
      <c r="G83" s="2" t="s">
        <v>109</v>
      </c>
      <c r="H83" s="2" t="s">
        <v>213</v>
      </c>
      <c r="I83" s="2" t="s">
        <v>65</v>
      </c>
      <c r="J83" s="3" t="s">
        <v>138</v>
      </c>
    </row>
    <row r="84" customFormat="false" ht="23.85" hidden="false" customHeight="false" outlineLevel="0" collapsed="false">
      <c r="A84" s="2" t="s">
        <v>391</v>
      </c>
      <c r="B84" s="2" t="s">
        <v>392</v>
      </c>
      <c r="C84" s="2" t="s">
        <v>393</v>
      </c>
      <c r="D84" s="2" t="s">
        <v>247</v>
      </c>
      <c r="E84" s="2" t="s">
        <v>232</v>
      </c>
      <c r="F84" s="2" t="s">
        <v>394</v>
      </c>
      <c r="G84" s="2" t="s">
        <v>33</v>
      </c>
      <c r="H84" s="2" t="s">
        <v>17</v>
      </c>
      <c r="I84" s="2" t="s">
        <v>18</v>
      </c>
      <c r="J84" s="3" t="s">
        <v>395</v>
      </c>
    </row>
    <row r="85" customFormat="false" ht="23.85" hidden="false" customHeight="false" outlineLevel="0" collapsed="false">
      <c r="A85" s="2" t="s">
        <v>396</v>
      </c>
      <c r="B85" s="2" t="s">
        <v>397</v>
      </c>
      <c r="C85" s="2" t="s">
        <v>251</v>
      </c>
      <c r="D85" s="2" t="s">
        <v>247</v>
      </c>
      <c r="E85" s="2" t="s">
        <v>232</v>
      </c>
      <c r="F85" s="2" t="s">
        <v>15</v>
      </c>
      <c r="G85" s="2" t="s">
        <v>398</v>
      </c>
      <c r="H85" s="2" t="s">
        <v>34</v>
      </c>
      <c r="I85" s="2" t="s">
        <v>26</v>
      </c>
      <c r="J85" s="3" t="s">
        <v>399</v>
      </c>
    </row>
    <row r="86" customFormat="false" ht="15" hidden="false" customHeight="false" outlineLevel="0" collapsed="false">
      <c r="A86" s="2" t="s">
        <v>400</v>
      </c>
      <c r="B86" s="2" t="s">
        <v>359</v>
      </c>
      <c r="C86" s="2" t="s">
        <v>401</v>
      </c>
      <c r="D86" s="2" t="s">
        <v>247</v>
      </c>
      <c r="E86" s="2" t="s">
        <v>232</v>
      </c>
      <c r="F86" s="2" t="s">
        <v>241</v>
      </c>
      <c r="G86" s="2" t="s">
        <v>268</v>
      </c>
      <c r="H86" s="2" t="s">
        <v>42</v>
      </c>
      <c r="I86" s="2" t="s">
        <v>26</v>
      </c>
      <c r="J86" s="3" t="s">
        <v>361</v>
      </c>
    </row>
    <row r="87" customFormat="false" ht="15" hidden="false" customHeight="false" outlineLevel="0" collapsed="false">
      <c r="A87" s="2" t="s">
        <v>402</v>
      </c>
      <c r="B87" s="2" t="s">
        <v>403</v>
      </c>
      <c r="C87" s="2" t="s">
        <v>251</v>
      </c>
      <c r="D87" s="2" t="s">
        <v>247</v>
      </c>
      <c r="E87" s="2" t="s">
        <v>232</v>
      </c>
      <c r="F87" s="2" t="s">
        <v>15</v>
      </c>
      <c r="G87" s="2" t="s">
        <v>326</v>
      </c>
      <c r="H87" s="2" t="s">
        <v>83</v>
      </c>
      <c r="I87" s="2" t="s">
        <v>65</v>
      </c>
      <c r="J87" s="3" t="s">
        <v>84</v>
      </c>
    </row>
    <row r="88" customFormat="false" ht="23.85" hidden="false" customHeight="false" outlineLevel="0" collapsed="false">
      <c r="A88" s="2" t="s">
        <v>404</v>
      </c>
      <c r="B88" s="2" t="s">
        <v>405</v>
      </c>
      <c r="C88" s="2" t="s">
        <v>406</v>
      </c>
      <c r="D88" s="2" t="s">
        <v>247</v>
      </c>
      <c r="E88" s="2" t="s">
        <v>232</v>
      </c>
      <c r="F88" s="2" t="s">
        <v>407</v>
      </c>
      <c r="G88" s="2" t="s">
        <v>408</v>
      </c>
      <c r="H88" s="2" t="s">
        <v>269</v>
      </c>
      <c r="I88" s="2" t="s">
        <v>26</v>
      </c>
      <c r="J88" s="3" t="s">
        <v>409</v>
      </c>
    </row>
    <row r="89" customFormat="false" ht="15" hidden="false" customHeight="false" outlineLevel="0" collapsed="false">
      <c r="A89" s="2" t="s">
        <v>410</v>
      </c>
      <c r="B89" s="2" t="s">
        <v>411</v>
      </c>
      <c r="C89" s="2" t="s">
        <v>412</v>
      </c>
      <c r="D89" s="2" t="s">
        <v>247</v>
      </c>
      <c r="E89" s="2" t="s">
        <v>232</v>
      </c>
      <c r="F89" s="2" t="s">
        <v>413</v>
      </c>
      <c r="G89" s="2" t="s">
        <v>414</v>
      </c>
      <c r="H89" s="2" t="s">
        <v>42</v>
      </c>
      <c r="I89" s="2" t="s">
        <v>26</v>
      </c>
      <c r="J89" s="3" t="s">
        <v>415</v>
      </c>
    </row>
    <row r="90" customFormat="false" ht="15" hidden="false" customHeight="false" outlineLevel="0" collapsed="false">
      <c r="A90" s="2" t="s">
        <v>416</v>
      </c>
      <c r="B90" s="2" t="s">
        <v>417</v>
      </c>
      <c r="C90" s="2" t="s">
        <v>418</v>
      </c>
      <c r="D90" s="2" t="s">
        <v>247</v>
      </c>
      <c r="E90" s="2" t="s">
        <v>232</v>
      </c>
      <c r="F90" s="2" t="s">
        <v>130</v>
      </c>
      <c r="G90" s="2" t="s">
        <v>41</v>
      </c>
      <c r="H90" s="2" t="s">
        <v>269</v>
      </c>
      <c r="I90" s="2" t="s">
        <v>26</v>
      </c>
      <c r="J90" s="3" t="s">
        <v>419</v>
      </c>
    </row>
  </sheetData>
  <conditionalFormatting sqref="I2:I90">
    <cfRule type="expression" priority="2" aboveAverage="0" equalAverage="0" bottom="0" percent="0" rank="0" text="" dxfId="7">
      <formula>LEFT($I2,4)="High"</formula>
    </cfRule>
    <cfRule type="expression" priority="3" aboveAverage="0" equalAverage="0" bottom="0" percent="0" rank="0" text="" dxfId="8">
      <formula>LEFT($I2,6)="Medium"</formula>
    </cfRule>
    <cfRule type="expression" priority="4" aboveAverage="0" equalAverage="0" bottom="0" percent="0" rank="0" text="" dxfId="9">
      <formula>LEFT($I2,3)="Low"</formula>
    </cfRule>
  </conditionalFormatting>
  <hyperlinks>
    <hyperlink ref="J2" r:id="rId1" display="https://smartify.org/venues"/>
    <hyperlink ref="J3" r:id="rId2" display="https://smartify.org/partners/articles/museum-of-fine-arts-ghent"/>
    <hyperlink ref="J4" r:id="rId3" display="https://smartify.org/partners/articles/connecting-culture-across-benelux"/>
    <hyperlink ref="J5" r:id="rId4" display="https://frederiksborg.dk/en/audioguide/"/>
    <hyperlink ref="J6" r:id="rId5" display="https://smartify.org/partners/articles/royal-danish-collection"/>
    <hyperlink ref="J7" r:id="rId6" display="https://smartify.org/venues"/>
    <hyperlink ref="J8" r:id="rId7" display="https://smartify.org/partners/case-studies/hamburger-kunsthalle"/>
    <hyperlink ref="J9" r:id="rId8" display="https://www.mintmuseum.org/?p=54948"/>
    <hyperlink ref="J10" r:id="rId9" display="https://smartify.org/partners/case-studies/acropolis-museum"/>
    <hyperlink ref="J11" r:id="rId10" display="https://www.emst.gr/en/events-en/smartify-at-emst"/>
    <hyperlink ref="J12" r:id="rId11" display="https://www.theartnewspaper.com/2017/09/22/new-app-invites-art-lovers-to-build-a-playlist-across-museums"/>
    <hyperlink ref="J13" r:id="rId12" display="https://smartify.org/partners/articles/connecting-culture-across-benelux"/>
    <hyperlink ref="J14" r:id="rId13" display="https://cordis.europa.eu/project/id/781928"/>
    <hyperlink ref="J15" r:id="rId14" display="https://smartify.org/partners/case-studies/van-abbe-museum"/>
    <hyperlink ref="J16" r:id="rId15" display="https://smartify.org/partners/articles/connecting-culture-across-benelux"/>
    <hyperlink ref="J17" r:id="rId16" display="https://www.smithsonianmag.com/smart-news/app-aims-be-shazam-art-museum-180965199/"/>
    <hyperlink ref="J18" r:id="rId17" display="https://www.theartnewspaper.com/2017/09/22/new-app-invites-art-lovers-to-build-a-playlist-across-museums"/>
    <hyperlink ref="J19" r:id="rId18" display="https://cordis.europa.eu/project/id/781928"/>
    <hyperlink ref="J20" r:id="rId19" display="https://app.smartify.org/en-GB/venues/qatar-museums"/>
    <hyperlink ref="J21" r:id="rId20" display="https://www.mintmuseum.org/?p=54948"/>
    <hyperlink ref="J22" r:id="rId21" display="https://smartify.org/venues/glass-curtain-gallery"/>
    <hyperlink ref="J23" r:id="rId22" display="https://thelowry.com/2019/01/22/smartify-launch/"/>
    <hyperlink ref="J24" r:id="rId23" display="https://www.smithsonianmag.com/smart-news/smartify-makes-all-its-audio-museum-tours-available-free-180974531/"/>
    <hyperlink ref="J25" r:id="rId24" display="https://www.mintmuseum.org/?p=54948"/>
    <hyperlink ref="J26" r:id="rId25" display="https://enewsletters.k-state.edu/beach/smartify-app/"/>
    <hyperlink ref="J27" r:id="rId26" display="https://enewsletters.k-state.edu/beach/smartify-app/"/>
    <hyperlink ref="J28" r:id="rId27" display="https://smartify.org/partners/case-studies/digital-visitor-guide-michigan-central"/>
    <hyperlink ref="J29" r:id="rId28" display="https://www.mintmuseum.org/?p=54948"/>
    <hyperlink ref="J30" r:id="rId29" display="https://partners.smartify.org/projects"/>
    <hyperlink ref="J31" r:id="rId30" display="https://www.holocaustandhumanity.org/press-releases/the-nancy-david-wolf-holocaust-humanity-center-launches-new-interactive-audio-guide-in-partnership-with-smartify/"/>
    <hyperlink ref="J32" r:id="rId31" display="https://smartify.org/venues/national-gallery-of-art"/>
    <hyperlink ref="J33" r:id="rId32" display="https://www.mintmuseum.org/?p=54948"/>
    <hyperlink ref="J34" r:id="rId33" display="https://npg.si.edu/es/node/150181"/>
    <hyperlink ref="J35" r:id="rId34" display="https://smartify.org/partners/case-studies/nelson-atkins-museum-of-art"/>
    <hyperlink ref="J36" r:id="rId35" display="https://app.smartify.org/en-GB/venues/gallery-344"/>
    <hyperlink ref="J37" r:id="rId36" display="https://partners.smartify.org/projects/princeton-university-art-museum-smartify"/>
    <hyperlink ref="J38" r:id="rId37" display="https://www.ccicomms.com/post/at-t-partners-with-museums-app-smartify-to-reimagine-monet-s-water-lilies-for-international-museum-d"/>
    <hyperlink ref="J39" r:id="rId38" display="https://partners.smartify.org/projects/ai-tours-and-an-ar-game-for-the-smithsonian-american-art-museum"/>
    <hyperlink ref="J40" r:id="rId39" display="https://smartify.org/venues/the-met-cloisters"/>
    <hyperlink ref="J41" r:id="rId40" display="https://www.mintmuseum.org/?p=54948"/>
    <hyperlink ref="J42" r:id="rId41" display="https://thelowry.com/2019/01/22/smartify-launch/"/>
    <hyperlink ref="J43" r:id="rId42" display="https://ulrich.wichita.edu/ulrich-essentials/"/>
    <hyperlink ref="J44" r:id="rId43" display="https://britishart.yale.edu/smartify-app"/>
    <hyperlink ref="J45" r:id="rId44" display="https://artgallery.yale.edu/visit/mobile-app"/>
    <hyperlink ref="J46" r:id="rId45" display="https://app.smartify.org/en-GB/venues/irishmuseumofmodernart"/>
    <hyperlink ref="J47" r:id="rId46" display="https://app.smartify.org/en-GB/venues/national-gallery-of-ireland-4eh0e"/>
    <hyperlink ref="J48" r:id="rId47" display="https://smartify.org/partners/case-studies/shackleton-experience"/>
    <hyperlink ref="J49" r:id="rId48" display="https://www.ashmolean.org/smartify"/>
    <hyperlink ref="J50" r:id="rId49" display="https://smartify.org/venues/sculpture-in-the-city"/>
    <hyperlink ref="J51" r:id="rId50" display="https://atholl-estates.co.uk/blair-castle/self-guided-tours/"/>
    <hyperlink ref="J52" r:id="rId51" display="https://partners.smartify.org/"/>
    <hyperlink ref="J53" r:id="rId52" display="https://www.northern-times.co.uk/news/brora-heritage-centre-one-of-six-to-feature-as-part-of-digi-301682/"/>
    <hyperlink ref="J54" r:id="rId53" display="https://partners.smartify.org/"/>
    <hyperlink ref="J55" r:id="rId54" display="https://xponorth.co.uk/news/six-museums-launch-virtual-tours-on-smartify-through-partnership-with-xponorth-digital"/>
    <hyperlink ref="J56" r:id="rId55" display="https://smartify.org/partners/case-studies/guides-historic-royal-palaces"/>
    <hyperlink ref="J57" r:id="rId56" display="https://smartify.org/partners/case-studies/augmented-reality-skyline-scanner-horizon-22"/>
    <hyperlink ref="J58" r:id="rId57" display="https://www.horniman.ac.uk/?p=13271"/>
    <hyperlink ref="J59" r:id="rId58" display="https://xponorth.co.uk/news/six-museums-launch-virtual-tours-on-smartify-through-partnership-with-xponorth-digital"/>
    <hyperlink ref="J60" r:id="rId59" display="https://www.glasgowlife.org.uk/news/kelvingrove-museum-is-the-first-in-scotland-to-join-smartify"/>
    <hyperlink ref="J61" r:id="rId60" display="https://partners.smartify.org/projects/leighton-house"/>
    <hyperlink ref="J62" r:id="rId61" display="https://smartify.org/venues/museum-of-london"/>
    <hyperlink ref="J63" r:id="rId62" display="https://smartify.org/partners/case-studies/ray-harryhausen-ar"/>
    <hyperlink ref="J64" r:id="rId63" display="https://nationalmotormuseum.org.uk/news/smartify-at-the-national-motor-museum/"/>
    <hyperlink ref="J65" r:id="rId64" display="https://www.nms.ac.uk/national-museum-of-scotland/see-and-do/tours-and-trails"/>
    <hyperlink ref="J66" r:id="rId65" display="https://cordis.europa.eu/project/id/781928"/>
    <hyperlink ref="J67" r:id="rId66" display="https://www.victa.org.uk/victa-calendar/smartify-audio-guide-testing/"/>
    <hyperlink ref="J68" r:id="rId67" display="https://app.smartify.org/en-GB/venues/royal-academy-of-arts"/>
    <hyperlink ref="J69" r:id="rId68" display="https://jingdailyculture.com/smartify-royal-holloway-university-accessible-audio-guide/"/>
    <hyperlink ref="J70" r:id="rId69" display="https://smartify.org/partners/case-studies/immersive-audio-soundscape-cutty-sark"/>
    <hyperlink ref="J71" r:id="rId70" display="https://sainsburycentre.ac.uk/whats-on/smartify-audio-tours/"/>
    <hyperlink ref="J72" r:id="rId71" display="https://partners.smartify.org/projects"/>
    <hyperlink ref="J73" r:id="rId72" display="https://smartify.org/venues/sculpture-in-the-city"/>
    <hyperlink ref="J74" r:id="rId73" display="https://xponorth.co.uk/news/nine-museums-from-the-highlands-and-islands-now-have-their-digital-collections-and-stories-featured-on-leading-global-app"/>
    <hyperlink ref="J75" r:id="rId74" display="https://xponorth.co.uk/news/six-museums-launch-virtual-tours-on-smartify-through-partnership-with-xponorth-digital"/>
    <hyperlink ref="J76" r:id="rId75" display="https://app.smartify.org/en-GB/venues/tate-modern"/>
    <hyperlink ref="J77" r:id="rId76" display="https://xponorth.co.uk/news/nine-museums-from-the-highlands-and-islands-now-have-their-digital-collections-and-stories-featured-on-leading-global-app"/>
    <hyperlink ref="J78" r:id="rId77" display="https://app.smartify.org/en-GB/venues/the-bowes-museum"/>
    <hyperlink ref="J79" r:id="rId78" display="https://www.smithsonianmag.com/smart-news/smartify-makes-all-its-audio-museum-tours-available-free-180974531/"/>
    <hyperlink ref="J80" r:id="rId79" display="https://smartify.org/venues/british-museum"/>
    <hyperlink ref="J81" r:id="rId80" display="https://xponorth.co.uk/news/six-museums-launch-virtual-tours-on-smartify-through-partnership-with-xponorth-digital"/>
    <hyperlink ref="J82" r:id="rId81" display="https://partners.smartify.org/projects"/>
    <hyperlink ref="J83" r:id="rId82" display="https://thelowry.com/2019/01/22/smartify-launch/"/>
    <hyperlink ref="J84" r:id="rId83" display="https://smartify.org/partners/case-studies"/>
    <hyperlink ref="J85" r:id="rId84" display="https://smartify.org/partners/case-studies/national-gallery"/>
    <hyperlink ref="J86" r:id="rId85" display="https://xponorth.co.uk/news/nine-museums-from-the-highlands-and-islands-now-have-their-digital-collections-and-stories-featured-on-leading-global-app"/>
    <hyperlink ref="J87" r:id="rId86" display="https://www.theartnewspaper.com/2017/09/22/new-app-invites-art-lovers-to-build-a-playlist-across-museums"/>
    <hyperlink ref="J88" r:id="rId87" display="https://smartify.org/partners/case-studies/digital-object-recognition-upton-house"/>
    <hyperlink ref="J89" r:id="rId88" display="https://www.vam.ac.uk/dundee/info/tours-and-trails"/>
    <hyperlink ref="J90" r:id="rId89" display="https://partners.smartify.org/projects/watts-gallery-artists-villag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90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4" t="s">
        <v>420</v>
      </c>
    </row>
    <row r="3" customFormat="false" ht="15" hidden="false" customHeight="false" outlineLevel="0" collapsed="false">
      <c r="A3" s="5" t="s">
        <v>421</v>
      </c>
      <c r="B3" s="5" t="s">
        <v>422</v>
      </c>
    </row>
    <row r="4" customFormat="false" ht="15" hidden="false" customHeight="false" outlineLevel="0" collapsed="false">
      <c r="A4" s="6" t="s">
        <v>14</v>
      </c>
      <c r="B4" s="6" t="n">
        <f aca="false">COUNTIF(Organisations!$E$2:$E$90,A4)</f>
        <v>18</v>
      </c>
    </row>
    <row r="5" customFormat="false" ht="15" hidden="false" customHeight="false" outlineLevel="0" collapsed="false">
      <c r="A5" s="6" t="s">
        <v>118</v>
      </c>
      <c r="B5" s="6" t="n">
        <f aca="false">COUNTIF(Organisations!$E$2:$E$90,A5)</f>
        <v>1</v>
      </c>
    </row>
    <row r="6" customFormat="false" ht="15" hidden="false" customHeight="false" outlineLevel="0" collapsed="false">
      <c r="A6" s="6" t="s">
        <v>125</v>
      </c>
      <c r="B6" s="6" t="n">
        <f aca="false">COUNTIF(Organisations!$E$2:$E$90,A6)</f>
        <v>25</v>
      </c>
    </row>
    <row r="7" customFormat="false" ht="15" hidden="false" customHeight="false" outlineLevel="0" collapsed="false">
      <c r="A7" s="6" t="s">
        <v>232</v>
      </c>
      <c r="B7" s="6" t="n">
        <f aca="false">COUNTIF(Organisations!$E$2:$E$90,A7)</f>
        <v>45</v>
      </c>
    </row>
    <row r="8" customFormat="false" ht="15" hidden="false" customHeight="false" outlineLevel="0" collapsed="false">
      <c r="A8" s="5" t="s">
        <v>423</v>
      </c>
      <c r="B8" s="6" t="n">
        <f aca="false">SUM(B4:B7)</f>
        <v>89</v>
      </c>
    </row>
    <row r="10" customFormat="false" ht="15" hidden="false" customHeight="false" outlineLevel="0" collapsed="false">
      <c r="A10" s="5" t="s">
        <v>424</v>
      </c>
      <c r="B10" s="5" t="s">
        <v>422</v>
      </c>
    </row>
    <row r="11" customFormat="false" ht="15" hidden="false" customHeight="false" outlineLevel="0" collapsed="false">
      <c r="A11" s="6" t="s">
        <v>26</v>
      </c>
      <c r="B11" s="6" t="n">
        <f aca="false">COUNTIF(Organisations!$I$2:$I$90,A11)</f>
        <v>48</v>
      </c>
    </row>
    <row r="12" customFormat="false" ht="15" hidden="false" customHeight="false" outlineLevel="0" collapsed="false">
      <c r="A12" s="6" t="s">
        <v>18</v>
      </c>
      <c r="B12" s="6" t="n">
        <f aca="false">COUNTIF(Organisations!$I$2:$I$90,A12)</f>
        <v>21</v>
      </c>
    </row>
    <row r="13" customFormat="false" ht="15" hidden="false" customHeight="false" outlineLevel="0" collapsed="false">
      <c r="A13" s="6" t="s">
        <v>65</v>
      </c>
      <c r="B13" s="6" t="n">
        <f aca="false">COUNTIF(Organisations!$I$2:$I$90,A13)</f>
        <v>20</v>
      </c>
    </row>
    <row r="15" customFormat="false" ht="15" hidden="false" customHeight="false" outlineLevel="0" collapsed="false">
      <c r="A15" s="5" t="s">
        <v>425</v>
      </c>
    </row>
    <row r="16" customFormat="false" ht="30" hidden="false" customHeight="true" outlineLevel="0" collapsed="false">
      <c r="A16" s="7" t="s">
        <v>426</v>
      </c>
      <c r="B16" s="7"/>
      <c r="C16" s="7"/>
      <c r="D16" s="7"/>
      <c r="E16" s="7"/>
      <c r="F16" s="7"/>
    </row>
    <row r="17" customFormat="false" ht="30" hidden="false" customHeight="true" outlineLevel="0" collapsed="false">
      <c r="A17" s="7" t="s">
        <v>427</v>
      </c>
      <c r="B17" s="7"/>
      <c r="C17" s="7"/>
      <c r="D17" s="7"/>
      <c r="E17" s="7"/>
      <c r="F17" s="7"/>
    </row>
    <row r="18" customFormat="false" ht="30" hidden="false" customHeight="true" outlineLevel="0" collapsed="false">
      <c r="A18" s="7" t="s">
        <v>428</v>
      </c>
      <c r="B18" s="7"/>
      <c r="C18" s="7"/>
      <c r="D18" s="7"/>
      <c r="E18" s="7"/>
      <c r="F18" s="7"/>
    </row>
    <row r="19" customFormat="false" ht="30" hidden="false" customHeight="true" outlineLevel="0" collapsed="false">
      <c r="A19" s="7" t="s">
        <v>429</v>
      </c>
      <c r="B19" s="7"/>
      <c r="C19" s="7"/>
      <c r="D19" s="7"/>
      <c r="E19" s="7"/>
      <c r="F19" s="7"/>
    </row>
    <row r="20" customFormat="false" ht="30" hidden="false" customHeight="true" outlineLevel="0" collapsed="false">
      <c r="A20" s="7" t="s">
        <v>430</v>
      </c>
      <c r="B20" s="7"/>
      <c r="C20" s="7"/>
      <c r="D20" s="7"/>
      <c r="E20" s="7"/>
      <c r="F20" s="7"/>
    </row>
  </sheetData>
  <mergeCells count="5">
    <mergeCell ref="A16:F16"/>
    <mergeCell ref="A17:F17"/>
    <mergeCell ref="A18:F18"/>
    <mergeCell ref="A19:F19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2026-10-13T18:29:15Z</dcterms:created>
  <dc:creator>openpyxl</dc:creator>
  <dc:description/>
  <dc:language>en-US</dc:language>
  <cp:lastModifiedBy/>
  <dcterms:modified xsi:type="dcterms:W3CDTF">2026-10-13T18:29:15Z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