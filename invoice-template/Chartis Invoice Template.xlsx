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Setup" sheetId="2" state="visible" r:id="rId2"/>
  </sheets>
  <definedNames>
    <definedName name="_xlnm.Print_Area" localSheetId="0">'Invoice'!$A$1:$D$28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$&quot;#,##0.00"/>
    <numFmt numFmtId="165" formatCode="&quot;$&quot;#,##0"/>
    <numFmt numFmtId="166" formatCode="yyyy-mm-dd"/>
    <numFmt numFmtId="167" formatCode="m/d/yyyy"/>
    <numFmt numFmtId="168" formatCode="ddd m/d/yyyy"/>
    <numFmt numFmtId="169" formatCode="mmm d, yyyy"/>
  </numFmts>
  <fonts count="15">
    <font>
      <name val="Calibri"/>
      <family val="2"/>
      <color theme="1"/>
      <sz val="11"/>
      <scheme val="minor"/>
    </font>
    <font>
      <name val="Arial"/>
      <b val="1"/>
      <color rgb="001F4E79"/>
      <sz val="16"/>
    </font>
    <font>
      <name val="Arial"/>
      <i val="1"/>
      <color rgb="00404040"/>
      <sz val="10"/>
    </font>
    <font>
      <name val="Arial"/>
      <sz val="11"/>
    </font>
    <font>
      <name val="Arial"/>
      <color rgb="000000FF"/>
      <sz val="11"/>
    </font>
    <font>
      <name val="Arial"/>
      <i val="1"/>
      <color rgb="00808080"/>
      <sz val="9"/>
    </font>
    <font>
      <name val="Arial"/>
      <b val="1"/>
      <sz val="11"/>
    </font>
    <font>
      <name val="Arial"/>
      <b val="1"/>
      <color rgb="001F4E79"/>
      <sz val="20"/>
    </font>
    <font>
      <name val="Arial"/>
      <b val="1"/>
      <color rgb="00404040"/>
      <sz val="14"/>
    </font>
    <font>
      <name val="Arial"/>
      <color rgb="00404040"/>
      <sz val="10"/>
    </font>
    <font>
      <name val="Arial"/>
      <b val="1"/>
      <color rgb="00FFFFFF"/>
      <sz val="10"/>
    </font>
    <font>
      <name val="Arial"/>
      <b val="1"/>
      <color rgb="00404040"/>
      <sz val="10"/>
    </font>
    <font>
      <name val="Arial"/>
      <b val="1"/>
      <color rgb="005B9BD5"/>
      <sz val="12"/>
    </font>
    <font>
      <name val="Arial"/>
      <i val="1"/>
      <color rgb="00A6A6A6"/>
      <sz val="9"/>
    </font>
    <font>
      <name val="Arial"/>
      <color rgb="00404040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11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right" vertical="center"/>
    </xf>
    <xf numFmtId="169" fontId="9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165" fontId="9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0" fontId="11" fillId="0" borderId="1" applyAlignment="1" pivotButton="0" quotePrefix="0" xfId="0">
      <alignment horizontal="left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right" vertical="center"/>
    </xf>
    <xf numFmtId="164" fontId="11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center" vertical="center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" fontId="4" fillId="2" borderId="0" applyAlignment="1" pivotButton="0" quotePrefix="0" xfId="0">
      <alignment horizontal="left"/>
    </xf>
    <xf numFmtId="0" fontId="5" fillId="0" borderId="0" pivotButton="0" quotePrefix="0" xfId="0"/>
    <xf numFmtId="0" fontId="4" fillId="2" borderId="0" applyAlignment="1" pivotButton="0" quotePrefix="0" xfId="0">
      <alignment horizontal="left"/>
    </xf>
    <xf numFmtId="49" fontId="4" fillId="2" borderId="0" applyAlignment="1" pivotButton="0" quotePrefix="0" xfId="0">
      <alignment horizontal="left"/>
    </xf>
    <xf numFmtId="164" fontId="4" fillId="2" borderId="0" applyAlignment="1" pivotButton="0" quotePrefix="0" xfId="0">
      <alignment horizontal="left"/>
    </xf>
    <xf numFmtId="165" fontId="4" fillId="2" borderId="0" applyAlignment="1" pivotButton="0" quotePrefix="0" xfId="0">
      <alignment horizontal="left"/>
    </xf>
    <xf numFmtId="167" fontId="4" fillId="2" borderId="0" applyAlignment="1" pivotButton="0" quotePrefix="0" xfId="0">
      <alignment horizontal="left"/>
    </xf>
    <xf numFmtId="0" fontId="6" fillId="0" borderId="0" pivotButton="0" quotePrefix="0" xfId="0"/>
    <xf numFmtId="168" fontId="3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619250" cy="352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8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0" customWidth="1" min="3" max="3"/>
    <col width="20" customWidth="1" min="4" max="4"/>
  </cols>
  <sheetData>
    <row r="1" ht="42" customHeight="1">
      <c r="D1" s="1" t="inlineStr">
        <is>
          <t>INVOICE</t>
        </is>
      </c>
    </row>
    <row r="3">
      <c r="A3" s="2" t="inlineStr">
        <is>
          <t>Paul Wright</t>
        </is>
      </c>
    </row>
    <row r="4">
      <c r="A4" s="3" t="inlineStr">
        <is>
          <t>157 Hunter Ave, Fanwood, NJ 07023</t>
        </is>
      </c>
    </row>
    <row r="5">
      <c r="A5" s="3">
        <f>TEXT(Setup!B10,"$#,##0")&amp;"/hr"</f>
        <v/>
      </c>
    </row>
    <row r="7">
      <c r="A7" s="4" t="inlineStr">
        <is>
          <t>Bill to</t>
        </is>
      </c>
      <c r="B7" s="5" t="n"/>
      <c r="C7" s="4" t="inlineStr">
        <is>
          <t>Invoice Details</t>
        </is>
      </c>
      <c r="D7" s="5" t="n"/>
    </row>
    <row r="8">
      <c r="A8" s="6" t="inlineStr">
        <is>
          <t>Cara Talmadge</t>
        </is>
      </c>
      <c r="C8" s="6" t="inlineStr">
        <is>
          <t>Invoice No:</t>
        </is>
      </c>
      <c r="D8" s="7">
        <f>TEXT(Setup!B4,"0000")</f>
        <v/>
      </c>
    </row>
    <row r="9">
      <c r="A9" s="3" t="inlineStr">
        <is>
          <t>Chartis Interactive LLC</t>
        </is>
      </c>
      <c r="C9" s="6" t="inlineStr">
        <is>
          <t>Invoice Date:</t>
        </is>
      </c>
      <c r="D9" s="8">
        <f>Setup!B17</f>
        <v/>
      </c>
    </row>
    <row r="10">
      <c r="A10" s="3" t="inlineStr">
        <is>
          <t>813-230-8376</t>
        </is>
      </c>
    </row>
    <row r="12">
      <c r="A12" s="4" t="inlineStr">
        <is>
          <t>Billing Period</t>
        </is>
      </c>
      <c r="B12" s="5" t="n"/>
      <c r="C12" s="4" t="inlineStr">
        <is>
          <t>Total Weeks</t>
        </is>
      </c>
      <c r="D12" s="5" t="n"/>
    </row>
    <row r="13">
      <c r="A13" s="3">
        <f>TEXT(Setup!B15,"m/d/yyyy")&amp;" – "&amp;TEXT(Setup!B16,"m/d/yyyy")</f>
        <v/>
      </c>
      <c r="C13" s="3">
        <f>ROUND(Setup!B12/7,0)&amp;" weeks"</f>
        <v/>
      </c>
    </row>
    <row r="15">
      <c r="A15" s="9" t="inlineStr">
        <is>
          <t>Clockify Timesheet</t>
        </is>
      </c>
    </row>
    <row r="16">
      <c r="A16" s="6">
        <f>TEXT(Setup!B15,"m/d/yy")&amp;" - "&amp;TEXT(Setup!B15+6,"m/d/yy")</f>
        <v/>
      </c>
    </row>
    <row r="17" ht="70" customHeight="1">
      <c r="A17" s="10" t="inlineStr">
        <is>
          <t>Paste Clockify screenshot here (Insert &gt; Image &gt; Image over cells)</t>
        </is>
      </c>
    </row>
    <row r="18">
      <c r="A18" s="6">
        <f>TEXT(Setup!B15+7,"m/d/yy")&amp;" - "&amp;TEXT(Setup!B16,"m/d/yy")</f>
        <v/>
      </c>
    </row>
    <row r="19" ht="70" customHeight="1">
      <c r="A19" s="10" t="inlineStr">
        <is>
          <t>Paste Clockify screenshot here (Insert &gt; Image &gt; Image over cells)</t>
        </is>
      </c>
    </row>
    <row r="21">
      <c r="A21" s="9" t="inlineStr">
        <is>
          <t>Invoice Summary</t>
        </is>
      </c>
    </row>
    <row r="22">
      <c r="A22" s="11" t="inlineStr">
        <is>
          <t>By Week</t>
        </is>
      </c>
      <c r="B22" s="12" t="inlineStr">
        <is>
          <t>Hours</t>
        </is>
      </c>
      <c r="C22" s="12" t="inlineStr">
        <is>
          <t>Rate</t>
        </is>
      </c>
      <c r="D22" s="12" t="inlineStr">
        <is>
          <t>Line Total</t>
        </is>
      </c>
    </row>
    <row r="23">
      <c r="A23" s="13">
        <f>A16</f>
        <v/>
      </c>
      <c r="B23" s="14">
        <f>N(Setup!B5)</f>
        <v/>
      </c>
      <c r="C23" s="15">
        <f>Setup!B10</f>
        <v/>
      </c>
      <c r="D23" s="16">
        <f>B23*C23</f>
        <v/>
      </c>
    </row>
    <row r="24">
      <c r="A24" s="13">
        <f>A18</f>
        <v/>
      </c>
      <c r="B24" s="14">
        <f>N(Setup!B6)</f>
        <v/>
      </c>
      <c r="C24" s="15">
        <f>Setup!B10</f>
        <v/>
      </c>
      <c r="D24" s="16">
        <f>B24*C24</f>
        <v/>
      </c>
    </row>
    <row r="25">
      <c r="A25" s="13">
        <f>IF(N(Setup!B8)&gt;0,Setup!B7,"")</f>
        <v/>
      </c>
      <c r="B25" s="13" t="n"/>
      <c r="C25" s="13" t="n"/>
      <c r="D25" s="16">
        <f>IF(N(Setup!B8)&gt;0,Setup!B8,"")</f>
        <v/>
      </c>
    </row>
    <row r="26">
      <c r="A26" s="17" t="inlineStr">
        <is>
          <t>Total Hours:</t>
        </is>
      </c>
      <c r="B26" s="18">
        <f>B23+B24</f>
        <v/>
      </c>
      <c r="C26" s="19" t="inlineStr">
        <is>
          <t>Invoice Total:</t>
        </is>
      </c>
      <c r="D26" s="20">
        <f>D23+D24+N(D25)</f>
        <v/>
      </c>
    </row>
    <row r="28">
      <c r="A28" s="21" t="inlineStr">
        <is>
          <t>PO Box 4509, Warren, NJ 07059   |   p. 813-230-8376   |   david@chartis.io</t>
        </is>
      </c>
    </row>
  </sheetData>
  <mergeCells count="3">
    <mergeCell ref="A17:D17"/>
    <mergeCell ref="A19:D19"/>
    <mergeCell ref="A28:D28"/>
  </mergeCells>
  <printOptions horizontalCentered="1"/>
  <pageMargins left="0.75" right="0.75" top="1" bottom="1" header="0.5" footer="0.5"/>
  <pageSetup orientation="portrait" paperSize="1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60" customWidth="1" min="3" max="3"/>
  </cols>
  <sheetData>
    <row r="1">
      <c r="A1" s="22" t="inlineStr">
        <is>
          <t>Invoice Setup</t>
        </is>
      </c>
    </row>
    <row r="2">
      <c r="A2" s="23" t="inlineStr">
        <is>
          <t>Edit only the yellow cells. The Invoice tab updates itself.</t>
        </is>
      </c>
    </row>
    <row r="4">
      <c r="A4" s="24" t="inlineStr">
        <is>
          <t>Invoice No.</t>
        </is>
      </c>
      <c r="B4" s="25" t="n">
        <v>5</v>
      </c>
      <c r="C4" s="26" t="inlineStr">
        <is>
          <t>Each new invoice: add 1. All dates follow from this.</t>
        </is>
      </c>
    </row>
    <row r="5">
      <c r="A5" s="24" t="inlineStr">
        <is>
          <t>Week 1 hours</t>
        </is>
      </c>
      <c r="B5" s="27" t="n"/>
      <c r="C5" s="26" t="inlineStr">
        <is>
          <t>From Clockify (first week of the period)</t>
        </is>
      </c>
    </row>
    <row r="6">
      <c r="A6" s="24" t="inlineStr">
        <is>
          <t>Week 2 hours</t>
        </is>
      </c>
      <c r="B6" s="27" t="n"/>
      <c r="C6" s="26" t="inlineStr">
        <is>
          <t>From Clockify (second week of the period)</t>
        </is>
      </c>
    </row>
    <row r="7">
      <c r="A7" s="24" t="inlineStr">
        <is>
          <t>Other charge: description</t>
        </is>
      </c>
      <c r="B7" s="28" t="inlineStr">
        <is>
          <t>Anthropic Claude Pro Subscription</t>
        </is>
      </c>
      <c r="C7" s="26" t="inlineStr">
        <is>
          <t>Optional extra line on the summary</t>
        </is>
      </c>
    </row>
    <row r="8">
      <c r="A8" s="24" t="inlineStr">
        <is>
          <t>Other charge: amount</t>
        </is>
      </c>
      <c r="B8" s="29" t="n"/>
      <c r="C8" s="26" t="inlineStr">
        <is>
          <t>Leave blank to hide the line</t>
        </is>
      </c>
    </row>
    <row r="10">
      <c r="A10" s="24" t="inlineStr">
        <is>
          <t>Hourly rate</t>
        </is>
      </c>
      <c r="B10" s="30" t="n">
        <v>70</v>
      </c>
      <c r="C10" s="26" t="inlineStr">
        <is>
          <t>Rarely changes</t>
        </is>
      </c>
    </row>
    <row r="11">
      <c r="A11" s="24" t="inlineStr">
        <is>
          <t>First period start (invoice 0001)</t>
        </is>
      </c>
      <c r="B11" s="31" t="n">
        <v>46223</v>
      </c>
      <c r="C11" s="26" t="inlineStr">
        <is>
          <t>Monday your first billing period began; rarely changes</t>
        </is>
      </c>
    </row>
    <row r="12">
      <c r="A12" s="24" t="inlineStr">
        <is>
          <t>Days per billing period</t>
        </is>
      </c>
      <c r="B12" s="25" t="n">
        <v>14</v>
      </c>
      <c r="C12" s="26" t="inlineStr">
        <is>
          <t>Bi-weekly; rarely changes</t>
        </is>
      </c>
    </row>
    <row r="14">
      <c r="A14" s="32" t="inlineStr">
        <is>
          <t>Calculated (do not edit)</t>
        </is>
      </c>
    </row>
    <row r="15">
      <c r="A15" s="24" t="inlineStr">
        <is>
          <t>Period start</t>
        </is>
      </c>
      <c r="B15" s="33">
        <f>B11+(B4-1)*B12</f>
        <v/>
      </c>
    </row>
    <row r="16">
      <c r="A16" s="24" t="inlineStr">
        <is>
          <t>Period end</t>
        </is>
      </c>
      <c r="B16" s="33">
        <f>B15+B12-1</f>
        <v/>
      </c>
    </row>
    <row r="17">
      <c r="A17" s="24" t="inlineStr">
        <is>
          <t>Invoice date</t>
        </is>
      </c>
      <c r="B17" s="33">
        <f>B16+1</f>
        <v/>
      </c>
    </row>
  </sheetData>
  <dataValidations count="1">
    <dataValidation sqref="B4" showDropDown="0" showInputMessage="0" showErrorMessage="1" allowBlank="0" error="Invoice number must be 1 or more" type="whole" operator="greaterThanOrEqual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2026-09-28T19:41:22Z</dcterms:created>
  <dcterms:modified xsi:type="dcterms:W3CDTF">2026-09-28T19:41:22Z</dcterms:modified>
</cp:coreProperties>
</file>